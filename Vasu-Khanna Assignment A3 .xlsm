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filterPrivacy="1" codeName="ThisWorkbook" hidePivotFieldList="1" defaultThemeVersion="124226"/>
  <xr:revisionPtr revIDLastSave="0" documentId="14_{38DFE522-DC60-463B-8DBD-D890AA3EC8D0}" xr6:coauthVersionLast="47" xr6:coauthVersionMax="47" xr10:uidLastSave="{00000000-0000-0000-0000-000000000000}"/>
  <bookViews>
    <workbookView xWindow="-108" yWindow="-108" windowWidth="23256" windowHeight="12456" tabRatio="1000" firstSheet="3" activeTab="13" xr2:uid="{00000000-000D-0000-FFFF-FFFF00000000}"/>
  </bookViews>
  <sheets>
    <sheet name="Title" sheetId="14" r:id="rId1"/>
    <sheet name="1 Formatting" sheetId="1" r:id="rId2"/>
    <sheet name="2 Data Import" sheetId="15" r:id="rId3"/>
    <sheet name="3 User Story Analysis" sheetId="2" r:id="rId4"/>
    <sheet name="4 Chart" sheetId="5" r:id="rId5"/>
    <sheet name="5 Formulas" sheetId="6" r:id="rId6"/>
    <sheet name="6 FMEA" sheetId="7" r:id="rId7"/>
    <sheet name="7 Validation" sheetId="11" r:id="rId8"/>
    <sheet name="8 Conditional Format" sheetId="13" r:id="rId9"/>
    <sheet name="9 Two-Level Sort" sheetId="10" r:id="rId10"/>
    <sheet name="10 Pivot Table" sheetId="8" r:id="rId11"/>
    <sheet name="11 VBA" sheetId="3" r:id="rId12"/>
    <sheet name="12 Excel Help" sheetId="9" r:id="rId13"/>
    <sheet name="13 Personal Reflection" sheetId="12" r:id="rId14"/>
  </sheets>
  <externalReferences>
    <externalReference r:id="rId15"/>
  </externalReferences>
  <definedNames>
    <definedName name="_xlnm._FilterDatabase" localSheetId="13" hidden="1">'13 Personal Reflection'!$A$3:$C$13</definedName>
    <definedName name="ExternalData_1" localSheetId="2" hidden="1">'2 Data Import'!$A$1:$D$8</definedName>
  </definedNames>
  <calcPr calcId="191029"/>
  <pivotCaches>
    <pivotCache cacheId="5"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8" i="7" l="1"/>
  <c r="N8" i="7"/>
  <c r="M8" i="7"/>
  <c r="L8" i="7"/>
  <c r="H8" i="7"/>
  <c r="O7" i="7"/>
  <c r="N7" i="7"/>
  <c r="M7" i="7"/>
  <c r="L7" i="7"/>
  <c r="H7" i="7"/>
  <c r="O6" i="7"/>
  <c r="N6" i="7"/>
  <c r="M6" i="7"/>
  <c r="L6" i="7"/>
  <c r="H6" i="7"/>
  <c r="C53" i="6" l="1"/>
  <c r="F53" i="6" s="1"/>
  <c r="C52" i="6"/>
  <c r="F52" i="6" s="1"/>
  <c r="C51" i="6"/>
  <c r="F51" i="6" s="1"/>
  <c r="C50" i="6"/>
  <c r="F50" i="6" s="1"/>
  <c r="C49" i="6"/>
  <c r="F49" i="6" s="1"/>
  <c r="C48" i="6"/>
  <c r="F48" i="6" s="1"/>
  <c r="C47" i="6"/>
  <c r="F47" i="6" s="1"/>
  <c r="C46" i="6"/>
  <c r="F46" i="6" s="1"/>
  <c r="C45" i="6"/>
  <c r="F45" i="6" s="1"/>
  <c r="C44" i="6"/>
  <c r="F44" i="6" s="1"/>
  <c r="C43" i="6"/>
  <c r="F43" i="6" s="1"/>
  <c r="C42" i="6"/>
  <c r="F42" i="6" s="1"/>
  <c r="C41" i="6"/>
  <c r="F41" i="6" s="1"/>
  <c r="C40" i="6"/>
  <c r="F40" i="6" s="1"/>
  <c r="C39" i="6"/>
  <c r="F39" i="6" s="1"/>
  <c r="C38" i="6"/>
  <c r="F38" i="6" s="1"/>
  <c r="C37" i="6"/>
  <c r="F37" i="6" s="1"/>
  <c r="C36" i="6"/>
  <c r="F36" i="6" s="1"/>
  <c r="C35" i="6"/>
  <c r="F35" i="6" s="1"/>
  <c r="C34" i="6"/>
  <c r="F34" i="6" s="1"/>
  <c r="C33" i="6"/>
  <c r="F33" i="6" s="1"/>
  <c r="C32" i="6"/>
  <c r="F32" i="6" s="1"/>
  <c r="C31" i="6"/>
  <c r="F31" i="6" s="1"/>
  <c r="C30" i="6"/>
  <c r="F30" i="6" s="1"/>
  <c r="C29" i="6"/>
  <c r="F29" i="6" s="1"/>
  <c r="C28" i="6"/>
  <c r="F28" i="6" s="1"/>
  <c r="C27" i="6"/>
  <c r="F27" i="6" s="1"/>
  <c r="C26" i="6"/>
  <c r="F26" i="6" s="1"/>
  <c r="C25" i="6"/>
  <c r="F25" i="6" s="1"/>
  <c r="C24" i="6"/>
  <c r="F24" i="6" s="1"/>
  <c r="C23" i="6"/>
  <c r="F23" i="6" s="1"/>
  <c r="C22" i="6"/>
  <c r="F22" i="6" s="1"/>
  <c r="C21" i="6"/>
  <c r="F21" i="6" s="1"/>
  <c r="C20" i="6"/>
  <c r="F20" i="6" s="1"/>
  <c r="C19" i="6"/>
  <c r="F19" i="6" s="1"/>
  <c r="C18" i="6"/>
  <c r="F18" i="6" s="1"/>
  <c r="C17" i="6"/>
  <c r="F17" i="6" s="1"/>
  <c r="C16" i="6"/>
  <c r="F16" i="6" s="1"/>
  <c r="C15" i="6"/>
  <c r="F15" i="6" s="1"/>
  <c r="C14" i="6"/>
  <c r="F14" i="6" s="1"/>
  <c r="C13" i="6"/>
  <c r="F13" i="6" s="1"/>
  <c r="C12" i="6"/>
  <c r="F12" i="6" s="1"/>
  <c r="C11" i="6"/>
  <c r="F11" i="6" s="1"/>
  <c r="C10" i="6"/>
  <c r="F10" i="6" s="1"/>
  <c r="C9" i="6"/>
  <c r="F9" i="6" s="1"/>
  <c r="C8" i="6"/>
  <c r="F8" i="6" s="1"/>
  <c r="C7" i="6"/>
  <c r="F7" i="6" s="1"/>
  <c r="C6" i="6"/>
  <c r="F6" i="6" s="1"/>
  <c r="C5" i="6"/>
  <c r="F5" i="6" s="1"/>
  <c r="C4" i="6"/>
  <c r="F4" i="6" s="1"/>
  <c r="C3" i="6"/>
  <c r="F3" i="6" s="1"/>
  <c r="C2" i="6"/>
  <c r="F2" i="6" s="1"/>
  <c r="G25" i="1"/>
  <c r="D2" i="6" l="1"/>
  <c r="D4" i="6"/>
  <c r="D6" i="6"/>
  <c r="D8" i="6"/>
  <c r="D10" i="6"/>
  <c r="D12" i="6"/>
  <c r="D14" i="6"/>
  <c r="D16" i="6"/>
  <c r="D18" i="6"/>
  <c r="D20" i="6"/>
  <c r="D22" i="6"/>
  <c r="D24" i="6"/>
  <c r="D26" i="6"/>
  <c r="D28" i="6"/>
  <c r="D30" i="6"/>
  <c r="D32" i="6"/>
  <c r="D34" i="6"/>
  <c r="D36" i="6"/>
  <c r="D38" i="6"/>
  <c r="D40" i="6"/>
  <c r="D42" i="6"/>
  <c r="D44" i="6"/>
  <c r="D46" i="6"/>
  <c r="D48" i="6"/>
  <c r="D50" i="6"/>
  <c r="D52" i="6"/>
  <c r="E2" i="6"/>
  <c r="E4" i="6"/>
  <c r="E6" i="6"/>
  <c r="E8" i="6"/>
  <c r="E10" i="6"/>
  <c r="E12" i="6"/>
  <c r="E14" i="6"/>
  <c r="E16" i="6"/>
  <c r="E18" i="6"/>
  <c r="E20" i="6"/>
  <c r="E22" i="6"/>
  <c r="E24" i="6"/>
  <c r="E26" i="6"/>
  <c r="E28" i="6"/>
  <c r="E30" i="6"/>
  <c r="E32" i="6"/>
  <c r="E34" i="6"/>
  <c r="E36" i="6"/>
  <c r="E38" i="6"/>
  <c r="E40" i="6"/>
  <c r="E42" i="6"/>
  <c r="E44" i="6"/>
  <c r="E46" i="6"/>
  <c r="E48" i="6"/>
  <c r="E50" i="6"/>
  <c r="E52" i="6"/>
  <c r="D3" i="6"/>
  <c r="D5" i="6"/>
  <c r="D7" i="6"/>
  <c r="D9" i="6"/>
  <c r="D11" i="6"/>
  <c r="D13" i="6"/>
  <c r="D15" i="6"/>
  <c r="D17" i="6"/>
  <c r="D19" i="6"/>
  <c r="D21" i="6"/>
  <c r="D23" i="6"/>
  <c r="D25" i="6"/>
  <c r="D27" i="6"/>
  <c r="D29" i="6"/>
  <c r="D31" i="6"/>
  <c r="D33" i="6"/>
  <c r="D35" i="6"/>
  <c r="D37" i="6"/>
  <c r="D39" i="6"/>
  <c r="D41" i="6"/>
  <c r="D43" i="6"/>
  <c r="D45" i="6"/>
  <c r="D47" i="6"/>
  <c r="D49" i="6"/>
  <c r="D51" i="6"/>
  <c r="D53" i="6"/>
  <c r="E3" i="6"/>
  <c r="E5" i="6"/>
  <c r="E7" i="6"/>
  <c r="E9" i="6"/>
  <c r="E11" i="6"/>
  <c r="E13" i="6"/>
  <c r="E15" i="6"/>
  <c r="E17" i="6"/>
  <c r="E19" i="6"/>
  <c r="E21" i="6"/>
  <c r="E23" i="6"/>
  <c r="E25" i="6"/>
  <c r="E27" i="6"/>
  <c r="E29" i="6"/>
  <c r="E31" i="6"/>
  <c r="E33" i="6"/>
  <c r="E35" i="6"/>
  <c r="E37" i="6"/>
  <c r="E39" i="6"/>
  <c r="E41" i="6"/>
  <c r="E43" i="6"/>
  <c r="E45" i="6"/>
  <c r="E47" i="6"/>
  <c r="E49" i="6"/>
  <c r="E51" i="6"/>
  <c r="E53" i="6"/>
  <c r="G26" i="1"/>
  <c r="G27"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0291FC-B78D-4B96-AB26-35D0E9147BD1}" keepAlive="1" name="Query - Doccument" description="Connection to the 'Doccument' query in the workbook." type="5" refreshedVersion="8" background="1" saveData="1">
    <dbPr connection="Provider=Microsoft.Mashup.OleDb.1;Data Source=$Workbook$;Location=Doccument;Extended Properties=&quot;&quot;" command="SELECT * FROM [Doccument]"/>
  </connection>
</connections>
</file>

<file path=xl/sharedStrings.xml><?xml version="1.0" encoding="utf-8"?>
<sst xmlns="http://schemas.openxmlformats.org/spreadsheetml/2006/main" count="461" uniqueCount="348">
  <si>
    <t>Item</t>
  </si>
  <si>
    <t>#</t>
  </si>
  <si>
    <t>Your Answer</t>
  </si>
  <si>
    <t>Record (with your best recollection) how many hours you spent on the entire assignment</t>
  </si>
  <si>
    <t>Did you have sufficient assistance in doing the assignment?</t>
  </si>
  <si>
    <t>Comment on any aspect of the assignment that you particularly liked or found useful</t>
  </si>
  <si>
    <t>Content</t>
  </si>
  <si>
    <t>Name of topic</t>
  </si>
  <si>
    <t>Did you use MS© Excel help or help from LinkedIn Learning?</t>
  </si>
  <si>
    <t>My Answer Workbook</t>
  </si>
  <si>
    <t>ID</t>
  </si>
  <si>
    <t>Category</t>
  </si>
  <si>
    <t>User Story</t>
  </si>
  <si>
    <t>Business Value</t>
  </si>
  <si>
    <t>Effort</t>
  </si>
  <si>
    <t>Priority</t>
  </si>
  <si>
    <t>Source</t>
  </si>
  <si>
    <t>Comments</t>
  </si>
  <si>
    <t>Status</t>
  </si>
  <si>
    <t>User Story Label</t>
  </si>
  <si>
    <t>US01</t>
  </si>
  <si>
    <t>US02</t>
  </si>
  <si>
    <t>US03</t>
  </si>
  <si>
    <t>US04</t>
  </si>
  <si>
    <t>US05</t>
  </si>
  <si>
    <t>US06</t>
  </si>
  <si>
    <t>US07</t>
  </si>
  <si>
    <t>US08</t>
  </si>
  <si>
    <t>US09</t>
  </si>
  <si>
    <t>US10</t>
  </si>
  <si>
    <t>Actor / Role</t>
  </si>
  <si>
    <t xml:space="preserve">Assessment
</t>
  </si>
  <si>
    <t>Briefly describe your previous experience with Excel</t>
  </si>
  <si>
    <t>Did you benefit from coming to class when learning this content about Excel for Business Analysts. 
(If you did not not come to class, please explain further - thank youl)</t>
  </si>
  <si>
    <r>
      <t>Write in your own words the difference between doing "</t>
    </r>
    <r>
      <rPr>
        <b/>
        <sz val="12"/>
        <color theme="1"/>
        <rFont val="Calibri"/>
        <family val="2"/>
        <scheme val="minor"/>
      </rPr>
      <t>requirements analysis</t>
    </r>
    <r>
      <rPr>
        <sz val="12"/>
        <color theme="1"/>
        <rFont val="Calibri"/>
        <family val="2"/>
        <scheme val="minor"/>
      </rPr>
      <t>" and doing "</t>
    </r>
    <r>
      <rPr>
        <b/>
        <sz val="12"/>
        <color theme="1"/>
        <rFont val="Calibri"/>
        <family val="2"/>
        <scheme val="minor"/>
      </rPr>
      <t>data analysis</t>
    </r>
    <r>
      <rPr>
        <sz val="12"/>
        <color theme="1"/>
        <rFont val="Calibri"/>
        <family val="2"/>
        <scheme val="minor"/>
      </rPr>
      <t>"?</t>
    </r>
  </si>
  <si>
    <t>Your name</t>
  </si>
  <si>
    <t>What did you personally learn from this assignment?</t>
  </si>
  <si>
    <t>What was the most challenging question for you, and why?</t>
  </si>
  <si>
    <t>If you feel the assignment could be improved, provide one or two recommendations for future versions of the assignment. 
Include your reason(s). This helps to understand your recommendation(s).</t>
  </si>
  <si>
    <t>Acme Consulting Services Inc.</t>
  </si>
  <si>
    <t>(Ontario Corporation Number 999999999)</t>
  </si>
  <si>
    <t>INVOICE</t>
  </si>
  <si>
    <t>John Doe</t>
  </si>
  <si>
    <t>99 - 99 Apple St.</t>
  </si>
  <si>
    <t>Toronto, ON     N0N 0N0</t>
  </si>
  <si>
    <r>
      <t xml:space="preserve">e-mail: </t>
    </r>
    <r>
      <rPr>
        <sz val="12"/>
        <color theme="1"/>
        <rFont val="Courier New"/>
        <family val="3"/>
      </rPr>
      <t>xxx@server.ca</t>
    </r>
  </si>
  <si>
    <t>Cell phone: 416-555-1234</t>
  </si>
  <si>
    <t>Date:</t>
  </si>
  <si>
    <t>Invoice #:</t>
  </si>
  <si>
    <t>13-01</t>
  </si>
  <si>
    <t>Account #:</t>
  </si>
  <si>
    <t>Bill to:</t>
  </si>
  <si>
    <t>Xxx</t>
  </si>
  <si>
    <r>
      <t>Xxx</t>
    </r>
    <r>
      <rPr>
        <sz val="12"/>
        <color theme="1"/>
        <rFont val="Arial Rounded MT Bold"/>
        <family val="2"/>
      </rPr>
      <t xml:space="preserve"> </t>
    </r>
  </si>
  <si>
    <t>Accounting Fax:</t>
  </si>
  <si>
    <t>Project:</t>
  </si>
  <si>
    <t>Xxx Project, Senior Business Analyst</t>
  </si>
  <si>
    <t>For the period:</t>
  </si>
  <si>
    <t>to</t>
  </si>
  <si>
    <t>Hours:</t>
  </si>
  <si>
    <t>Rate / Hour:</t>
  </si>
  <si>
    <t>Total Fees:</t>
  </si>
  <si>
    <t>H.S.T. # 99999 9999</t>
  </si>
  <si>
    <t>INVOICE TOTAL:</t>
  </si>
  <si>
    <t>(due as at date of invoice)</t>
  </si>
  <si>
    <r>
      <t xml:space="preserve">SIGNED:    </t>
    </r>
    <r>
      <rPr>
        <i/>
        <sz val="12"/>
        <color theme="1"/>
        <rFont val="Arial Rounded MT Bold"/>
        <family val="2"/>
      </rPr>
      <t>John Doe</t>
    </r>
  </si>
  <si>
    <r>
      <t xml:space="preserve">(Please make payment payable to </t>
    </r>
    <r>
      <rPr>
        <i/>
        <u/>
        <sz val="12"/>
        <color theme="1"/>
        <rFont val="Times New Roman"/>
        <family val="1"/>
      </rPr>
      <t>Acme Consulting Services Inc.</t>
    </r>
    <r>
      <rPr>
        <u/>
        <sz val="12"/>
        <color theme="1"/>
        <rFont val="Times New Roman"/>
        <family val="1"/>
      </rPr>
      <t>)</t>
    </r>
  </si>
  <si>
    <t>Identifier</t>
  </si>
  <si>
    <t>Description</t>
  </si>
  <si>
    <t>Date</t>
  </si>
  <si>
    <t>Vasu1</t>
  </si>
  <si>
    <t>Hi everyone</t>
  </si>
  <si>
    <t>high</t>
  </si>
  <si>
    <t>Vasu2</t>
  </si>
  <si>
    <t>Canada</t>
  </si>
  <si>
    <t>medium</t>
  </si>
  <si>
    <t>Vasu3</t>
  </si>
  <si>
    <t>Apple</t>
  </si>
  <si>
    <t>Vasu4</t>
  </si>
  <si>
    <t>Edit Worksheet</t>
  </si>
  <si>
    <t>Vasu5</t>
  </si>
  <si>
    <t>Format Worksheet</t>
  </si>
  <si>
    <t>Vasu6</t>
  </si>
  <si>
    <t>Submit Assignment</t>
  </si>
  <si>
    <t>LOW</t>
  </si>
  <si>
    <t>Vasu7</t>
  </si>
  <si>
    <t>Get Grades</t>
  </si>
  <si>
    <t>PART D</t>
  </si>
  <si>
    <t xml:space="preserve">PART B </t>
  </si>
  <si>
    <t>Steps to import data from text file</t>
  </si>
  <si>
    <t>Flow Charts</t>
  </si>
  <si>
    <t>Week</t>
  </si>
  <si>
    <t>Not started</t>
  </si>
  <si>
    <t>In Draft</t>
  </si>
  <si>
    <t>Drafted</t>
  </si>
  <si>
    <t>Under Review</t>
  </si>
  <si>
    <t>[Actual] Signed off</t>
  </si>
  <si>
    <t>[Plan] Signed off</t>
  </si>
  <si>
    <t>Total</t>
  </si>
  <si>
    <t>First Name</t>
  </si>
  <si>
    <t>Last Name</t>
  </si>
  <si>
    <t>Complete Name</t>
  </si>
  <si>
    <t>Remaining Names</t>
  </si>
  <si>
    <t># of Characters in Complete Name</t>
  </si>
  <si>
    <t>Ebdullxi El</t>
  </si>
  <si>
    <t>Gxmun</t>
  </si>
  <si>
    <t>Ebid Rxjxnrix</t>
  </si>
  <si>
    <t>Txmnxni</t>
  </si>
  <si>
    <t>Editi</t>
  </si>
  <si>
    <t>Eggxrwxl</t>
  </si>
  <si>
    <t>Editox</t>
  </si>
  <si>
    <t>Bixrdwxj</t>
  </si>
  <si>
    <t>Edrixnx</t>
  </si>
  <si>
    <t>Pxrrx</t>
  </si>
  <si>
    <t>Emit</t>
  </si>
  <si>
    <t>Tibxl</t>
  </si>
  <si>
    <t>Entiono</t>
  </si>
  <si>
    <t>Txntor</t>
  </si>
  <si>
    <t>Bibak</t>
  </si>
  <si>
    <t>Bxrnat</t>
  </si>
  <si>
    <t>Zaapxk</t>
  </si>
  <si>
    <t>Tixrmx</t>
  </si>
  <si>
    <t>Zinx Gxgdo Gaorgao</t>
  </si>
  <si>
    <t>Hourrak</t>
  </si>
  <si>
    <t>Tdwxrd</t>
  </si>
  <si>
    <t>Ecavado</t>
  </si>
  <si>
    <t>Jxrixnx</t>
  </si>
  <si>
    <t>Nxz</t>
  </si>
  <si>
    <t>Jajiro</t>
  </si>
  <si>
    <t>Ukpamo</t>
  </si>
  <si>
    <t>Jalipa</t>
  </si>
  <si>
    <t>Elvar Olivairx</t>
  </si>
  <si>
    <t>Gxnari Viriwxnxti</t>
  </si>
  <si>
    <t>Bxngarx</t>
  </si>
  <si>
    <t>Garron</t>
  </si>
  <si>
    <t>Balxndrix</t>
  </si>
  <si>
    <t>Grxmox</t>
  </si>
  <si>
    <t>Trivxrtxvx</t>
  </si>
  <si>
    <t>Hxrnak Tingi</t>
  </si>
  <si>
    <t>Bixtix</t>
  </si>
  <si>
    <t>Hxrrimrxn</t>
  </si>
  <si>
    <t>Kxur</t>
  </si>
  <si>
    <t>Jxnat</t>
  </si>
  <si>
    <t>Join</t>
  </si>
  <si>
    <t>Jxni</t>
  </si>
  <si>
    <t>Gxrroud Ebo Hxmdxn</t>
  </si>
  <si>
    <t>Joixnnx Cxrolinx</t>
  </si>
  <si>
    <t>Orrago Txnciaz</t>
  </si>
  <si>
    <t>Jooxl</t>
  </si>
  <si>
    <t>Gxtian</t>
  </si>
  <si>
    <t>Karro</t>
  </si>
  <si>
    <t>Tingi</t>
  </si>
  <si>
    <t>Kiurinumx</t>
  </si>
  <si>
    <t>Inxmdxr</t>
  </si>
  <si>
    <t>Kririnxmurtio</t>
  </si>
  <si>
    <t>Cixndrxriakxr</t>
  </si>
  <si>
    <t>Kritikx</t>
  </si>
  <si>
    <t>Nigxm</t>
  </si>
  <si>
    <t>Gxdiur</t>
  </si>
  <si>
    <t>Rxjbixndxri</t>
  </si>
  <si>
    <t>Gxjid</t>
  </si>
  <si>
    <t>Govxiadixn Etxr</t>
  </si>
  <si>
    <t>Gxricalx</t>
  </si>
  <si>
    <t>Gomaz</t>
  </si>
  <si>
    <t>Gxrziai</t>
  </si>
  <si>
    <t>Razxaa</t>
  </si>
  <si>
    <t>Gd Txnvir</t>
  </si>
  <si>
    <t>Hxriam</t>
  </si>
  <si>
    <t>Girial</t>
  </si>
  <si>
    <t>Cxdanx Cuavxr</t>
  </si>
  <si>
    <t>Goixmmad Rxki</t>
  </si>
  <si>
    <t>Tixkaak Eimad</t>
  </si>
  <si>
    <t>Nxmrxtx</t>
  </si>
  <si>
    <t>Tixpx</t>
  </si>
  <si>
    <t>Nxvxndaap</t>
  </si>
  <si>
    <t>Naalari</t>
  </si>
  <si>
    <t>Gxnogxrxn</t>
  </si>
  <si>
    <t>Nikiil Nirxnjxn</t>
  </si>
  <si>
    <t>Kixtri</t>
  </si>
  <si>
    <t>Pang</t>
  </si>
  <si>
    <t>Qixo</t>
  </si>
  <si>
    <t>Rxgixvi</t>
  </si>
  <si>
    <t>Kxrunxpxtio</t>
  </si>
  <si>
    <t>Rxioxn</t>
  </si>
  <si>
    <t>Kixn</t>
  </si>
  <si>
    <t>Rxtaab</t>
  </si>
  <si>
    <t>Txxd</t>
  </si>
  <si>
    <t>Ranxtx Gxrix</t>
  </si>
  <si>
    <t>Za Gadairor Gxvx</t>
  </si>
  <si>
    <t>Ricixrd</t>
  </si>
  <si>
    <t>Lavina</t>
  </si>
  <si>
    <t>Ririxbi</t>
  </si>
  <si>
    <t>Txgxr</t>
  </si>
  <si>
    <t>Ruciitx Nilarikumxr</t>
  </si>
  <si>
    <t>Pxtal</t>
  </si>
  <si>
    <t>T G</t>
  </si>
  <si>
    <t>Goin</t>
  </si>
  <si>
    <t>Ttavia Cixrdalla</t>
  </si>
  <si>
    <t>Bxmokilx Trouidi</t>
  </si>
  <si>
    <t>Tumit</t>
  </si>
  <si>
    <t>Rxmpxl</t>
  </si>
  <si>
    <t>Txnvi Tixrxd</t>
  </si>
  <si>
    <t>Vorx</t>
  </si>
  <si>
    <t>Txrun</t>
  </si>
  <si>
    <t>Kririxn</t>
  </si>
  <si>
    <t>Tagibir</t>
  </si>
  <si>
    <t>Exercise 1 - Product Table</t>
  </si>
  <si>
    <t>Exercise</t>
  </si>
  <si>
    <t>Use the Product Type Table to create a dropdown field in the yellow cell to the right.</t>
  </si>
  <si>
    <t>Bookcases</t>
  </si>
  <si>
    <t>Product Type Table</t>
  </si>
  <si>
    <t>Chairs</t>
  </si>
  <si>
    <t>Tables</t>
  </si>
  <si>
    <t>Furnishings</t>
  </si>
  <si>
    <t>low</t>
  </si>
  <si>
    <t>Type</t>
  </si>
  <si>
    <t>Name</t>
  </si>
  <si>
    <t>e</t>
  </si>
  <si>
    <t>bravo</t>
  </si>
  <si>
    <t>juliett</t>
  </si>
  <si>
    <t>f</t>
  </si>
  <si>
    <t>a</t>
  </si>
  <si>
    <t>golf</t>
  </si>
  <si>
    <t>b</t>
  </si>
  <si>
    <t>kilo</t>
  </si>
  <si>
    <t>oscar</t>
  </si>
  <si>
    <t>c</t>
  </si>
  <si>
    <t>charlie</t>
  </si>
  <si>
    <t>d</t>
  </si>
  <si>
    <t>foxtrot</t>
  </si>
  <si>
    <t>delta</t>
  </si>
  <si>
    <t>hotel</t>
  </si>
  <si>
    <t>lima</t>
  </si>
  <si>
    <t>Cream (10%)</t>
  </si>
  <si>
    <t>p</t>
  </si>
  <si>
    <t>papa</t>
  </si>
  <si>
    <t>Skim</t>
  </si>
  <si>
    <t>mike</t>
  </si>
  <si>
    <t>november</t>
  </si>
  <si>
    <t>echo</t>
  </si>
  <si>
    <t>x</t>
  </si>
  <si>
    <t>alfa</t>
  </si>
  <si>
    <t>z</t>
  </si>
  <si>
    <t>india</t>
  </si>
  <si>
    <t>Vasu</t>
  </si>
  <si>
    <t>Khanna</t>
  </si>
  <si>
    <t>Went to the Data wizzard</t>
  </si>
  <si>
    <t>Clicked on load and imported the data</t>
  </si>
  <si>
    <t>Selected Get data option, selected text,CSV</t>
  </si>
  <si>
    <t>Imported the file from the local drive</t>
  </si>
  <si>
    <t>PART C</t>
  </si>
  <si>
    <t>Based on the trends evident in the progress chart, it seems that the project was efficiently managed overall. There was a consistent decline in the number of tasks not yet started or in draft form over the weeks, indicating proactive planning and task initiation. Furthermore, there was a gradual increase in the number of tasks under review and signed off, highlighting effective execution and completion of deliverables. However, it's worth noting a slight uptick in the number of tasks under review during Week 5, suggesting potential bottlenecks or challenges in the review process. Nevertheless, this issue was promptly addressed in subsequent weeks, resulting in the successful completion of the project within the planned timeframe. It's apparent that the actual signoff from week 3 to week 7 was slightly delayed compared to the planned signoff; however, progress was back on track by week 8. Overall, considering the consistent progress and timely completion of tasks, the project can be considered a success.</t>
  </si>
  <si>
    <t>Authentication</t>
  </si>
  <si>
    <t>Registration</t>
  </si>
  <si>
    <t>Customer</t>
  </si>
  <si>
    <t>High</t>
  </si>
  <si>
    <t>Medium</t>
  </si>
  <si>
    <t>to be started</t>
  </si>
  <si>
    <t>Login</t>
  </si>
  <si>
    <t>Flight Booking</t>
  </si>
  <si>
    <t>Search Flights</t>
  </si>
  <si>
    <t>View Flight Details</t>
  </si>
  <si>
    <t>Book Flight</t>
  </si>
  <si>
    <t>Updates</t>
  </si>
  <si>
    <t>Receive Updates</t>
  </si>
  <si>
    <t>As a user, I want to receive real-time updates and notifications about my booked flights, including any changes to schedules or gate information.</t>
  </si>
  <si>
    <t>Payment gateway</t>
  </si>
  <si>
    <t xml:space="preserve">Payment </t>
  </si>
  <si>
    <t>As a traveler, I want access to a secure payment gateway to complete my flight bookings, with multiple payment options available for convenience.</t>
  </si>
  <si>
    <t>Security measures</t>
  </si>
  <si>
    <t>As a user, I want the app to prioritize security measures to safeguard my personal and payment information throughout the booking process.</t>
  </si>
  <si>
    <t>Compatibility</t>
  </si>
  <si>
    <t>As a traveler, I want the app to be compatible with both web and mobile platforms, allowing me to access and manage my bookings from any device.</t>
  </si>
  <si>
    <t>Customer Support</t>
  </si>
  <si>
    <t>As a user, I want access to reliable online customer support within the app, where I can easily reach out for assistance with any issues or queries regarding my bookings.</t>
  </si>
  <si>
    <t>Low</t>
  </si>
  <si>
    <t>As a traveller, I want to search for flights based on my preferred dates and destinations, so I can find options that fit my travel plans.</t>
  </si>
  <si>
    <t>As a frequent flyer, I want to view a list of available flights sorted by price, departure time, and airline, so I can compare and choose the most suitable option.</t>
  </si>
  <si>
    <t>As a budget-conscious traveler, I want to receive notifications for price drops or special deals on flights to my preferred destinations, so I can take advantage of savings opportunities.</t>
  </si>
  <si>
    <t>As a traveler with specific preferences, I want to filter search results based on factors such as airline, layovers, and departure times, so I can find flights that align with my preferences.</t>
  </si>
  <si>
    <t>As a traveler planning a multi-city trip, I want the option to book multiple flights with different airlines and layovers, so I can create an itinerary that meets my needs.</t>
  </si>
  <si>
    <t>Suggested by my team mate- Neha Patil</t>
  </si>
  <si>
    <t>Based on R01 list of business Requirements from  the BRD and suggested by me(Vasu Khanna)</t>
  </si>
  <si>
    <t>Based on R02 list of business Requirements from  the BRD and suggested by me(Vasu Khanna)</t>
  </si>
  <si>
    <t>Based on R04 list of business Requirements from  the BRD and suggested by me(Vasu Khanna)</t>
  </si>
  <si>
    <t>Project Name: Book my Trip</t>
  </si>
  <si>
    <t xml:space="preserve"> FMEA team:</t>
  </si>
  <si>
    <t xml:space="preserve">Prepared by:  </t>
  </si>
  <si>
    <t xml:space="preserve"> </t>
  </si>
  <si>
    <t xml:space="preserve">FMEA date: </t>
  </si>
  <si>
    <t>03-03-2024</t>
  </si>
  <si>
    <t>Potential failure mode</t>
  </si>
  <si>
    <t>Potential failure effects</t>
  </si>
  <si>
    <t>SEV</t>
  </si>
  <si>
    <t>Potential causes</t>
  </si>
  <si>
    <t>OCC</t>
  </si>
  <si>
    <t>Current process controls</t>
  </si>
  <si>
    <t>DET</t>
  </si>
  <si>
    <t>RPN</t>
  </si>
  <si>
    <t>Actions recommended</t>
  </si>
  <si>
    <t>Responsibility (target date)</t>
  </si>
  <si>
    <t>Actions taken</t>
  </si>
  <si>
    <t xml:space="preserve">In what way can the step go wrong?   </t>
  </si>
  <si>
    <t>What is the impact on the customer if the failure mode is not prevented or corrected?</t>
  </si>
  <si>
    <t>How severe is effect on the customer?</t>
  </si>
  <si>
    <t>What causes the step to go wrong?  (i.e., How could the failure mode occur?)</t>
  </si>
  <si>
    <t>How likely is cause to occur?</t>
  </si>
  <si>
    <t xml:space="preserve">What are the existing controls that either prevent the failure mode from occurring or detect it should it occur? </t>
  </si>
  <si>
    <t>How likely is detection of cause?</t>
  </si>
  <si>
    <t xml:space="preserve"> Risk priority number</t>
  </si>
  <si>
    <t>What are the actions for reducing the occurrence of the cause or for improving its detection? You should provide actions on all high RPNs and on severity ratings of 9 or 10.</t>
  </si>
  <si>
    <t>Who is responsible for the recommended action? What date should it be completed by?</t>
  </si>
  <si>
    <t xml:space="preserve">What were the actions implemented? Include completion month/year (then recalculate resulting RPN).   </t>
  </si>
  <si>
    <t>Login Failed</t>
  </si>
  <si>
    <t>Unable to access the profile and previous flight details</t>
  </si>
  <si>
    <t>user has entered an Incorrect password</t>
  </si>
  <si>
    <t>display popup that password is incorrect</t>
  </si>
  <si>
    <t>Remember the password or create forget password link to set a new password</t>
  </si>
  <si>
    <t>Developer complete by 15 April</t>
  </si>
  <si>
    <t>None</t>
  </si>
  <si>
    <t>Booking Failure</t>
  </si>
  <si>
    <t>Customer is not able to book a flight ticket</t>
  </si>
  <si>
    <t>The website stops responding due to a performance issue or there is low internet connectivity needed by the application</t>
  </si>
  <si>
    <t>Increase the application quality and performance so that it can take maximum ammount of load</t>
  </si>
  <si>
    <t>Developer, complete by 10 April</t>
  </si>
  <si>
    <t>A plan is made to improve application performance</t>
  </si>
  <si>
    <t>Payment Failed</t>
  </si>
  <si>
    <t xml:space="preserve">The customer is not able to complete the payment and book a flight ticket </t>
  </si>
  <si>
    <t>Insufficient funds in the user bank account or credit card limit has been exceeded</t>
  </si>
  <si>
    <t>Display popup that payment has been failed</t>
  </si>
  <si>
    <t>Vasu Khanna</t>
  </si>
  <si>
    <t>WG4</t>
  </si>
  <si>
    <t>(Rev.):  2</t>
  </si>
  <si>
    <t>Row Labels</t>
  </si>
  <si>
    <t>Grand Total</t>
  </si>
  <si>
    <t>Count of ID</t>
  </si>
  <si>
    <t>MS Excel Help</t>
  </si>
  <si>
    <t>Data Import And Export</t>
  </si>
  <si>
    <t xml:space="preserve">In Excel, data import and export capabilities are essential for integrating external data sources and sharing information with other applications. Users can import data from a variety of sources, including text files, databases, web pages, and other Excel workbooks. The import process allows users to specify data formatting, delimiters, and other parameters to ensure that the imported data is accurately represented in Excel. Additionally, Excel provides powerful tools for transforming and manipulating imported data, such as text-to-columns, data cleansing, and data validation, enabling users to prepare the data for further analysis or reporting.                                                                      On the other hand, Excel offers several options for exporting data to different formats, including PDF, CSV, HTML, and XML. This functionality allows users to share Excel data with colleagues who may not have access to Excel or prefer to work with data in other applications. Furthermore, Excel's export features maintain data integrity and formatting, ensuring that the exported data retains its structure and appearance when viewed in other programs. Overall, Excel's robust import and export capabilities enable users to seamlessly integrate external data into their workbooks and share insights with others, enhancing collaboration and productivity.
</t>
  </si>
  <si>
    <t>I learned a lot of different techniques like using VBA, Pivot table,FMEA, data importing.</t>
  </si>
  <si>
    <t>3 hours</t>
  </si>
  <si>
    <t>FMEA was the most challenging topic for me as it was the first time I was attempting it, the resources provided on brightspace helped me a lot.</t>
  </si>
  <si>
    <t>Yes, the resources provided in course module, including the videos were really helpful, and I was able to complete the assignment accurately on time.</t>
  </si>
  <si>
    <t>Yes, I gained a lot of knowledge in class about Excel, few things were new for me and are crucial skills to have as a Business Analyst.</t>
  </si>
  <si>
    <t>I used Excel in my previous job, usually using it for making spreadsheets and maintaining accounts of the firm, but few of the tools were not required for the work that I did so I got an opportunity in this assignment to learn few more tools and techniques</t>
  </si>
  <si>
    <t>Even though FMEA was a little tough and new for me I particullarly liked it because I learned something new and it was interesting.</t>
  </si>
  <si>
    <t>I feel that the assignment was pretty good and doesn't require any improvments.</t>
  </si>
  <si>
    <t>Requirements analysis involves gathering and prioritizing stakeholder needs and expectations to define project specifications, ensuring that the final deliverable meets their requirements. This process focuses on understanding functional and non-functional requirements through techniques such as stakeholder interviews and documentation review, resulting in a clear set of specifications that guide project development. On the other hand, data analysis entails examining and interpreting data to uncover insights and inform decision-making. By cleaning, transforming, and analyzing data, actionable insights are derived to aid stakeholders in understanding underlying trends and making informed decisions. Both processes are essential for successful project execution, addressing different aspects of problem-solving and decision-making.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</si>
</sst>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Red]\-&quot;$&quot;#,##0.00"/>
    <numFmt numFmtId="164" formatCode="\(0%\)"/>
    <numFmt numFmtId="169" formatCode="[$-F800]dddd\,\ mmmm\ dd\,\ yyyy"/>
  </numFmts>
  <fonts count="40" x14ac:knownFonts="1">
    <font>
      <sz val="11"/>
      <color theme="1"/>
      <name val="Calibri"/>
      <family val="2"/>
      <scheme val="minor"/>
    </font>
    <font>
      <b/>
      <sz val="12"/>
      <color rgb="FFFF0000"/>
      <name val="Calibri"/>
      <family val="2"/>
      <scheme val="minor"/>
    </font>
    <font>
      <b/>
      <sz val="14"/>
      <color theme="1"/>
      <name val="Calibri"/>
      <family val="2"/>
      <scheme val="minor"/>
    </font>
    <font>
      <sz val="12"/>
      <color theme="1"/>
      <name val="Calibri"/>
      <family val="2"/>
      <scheme val="minor"/>
    </font>
    <font>
      <b/>
      <sz val="9"/>
      <color theme="1"/>
      <name val="Verdana"/>
      <family val="2"/>
    </font>
    <font>
      <b/>
      <sz val="9"/>
      <color rgb="FF000000"/>
      <name val="Verdana"/>
      <family val="2"/>
    </font>
    <font>
      <sz val="10"/>
      <color theme="1"/>
      <name val="Arial"/>
      <family val="2"/>
    </font>
    <font>
      <b/>
      <sz val="18"/>
      <color rgb="FF002060"/>
      <name val="Calibri"/>
      <family val="2"/>
      <scheme val="minor"/>
    </font>
    <font>
      <b/>
      <sz val="11"/>
      <color theme="1"/>
      <name val="Calibri"/>
      <family val="2"/>
      <scheme val="minor"/>
    </font>
    <font>
      <b/>
      <sz val="12"/>
      <color theme="1"/>
      <name val="Calibri"/>
      <family val="2"/>
      <scheme val="minor"/>
    </font>
    <font>
      <sz val="8"/>
      <name val="Calibri"/>
      <family val="2"/>
      <scheme val="minor"/>
    </font>
    <font>
      <b/>
      <sz val="16"/>
      <color theme="1"/>
      <name val="Arial Rounded MT Bold"/>
      <family val="2"/>
    </font>
    <font>
      <i/>
      <sz val="10"/>
      <color theme="1"/>
      <name val="Arial Rounded MT Bold"/>
      <family val="2"/>
    </font>
    <font>
      <sz val="36"/>
      <color theme="1"/>
      <name val="Arial Rounded MT Bold"/>
      <family val="2"/>
    </font>
    <font>
      <sz val="12"/>
      <color theme="1"/>
      <name val="Univers"/>
      <family val="2"/>
    </font>
    <font>
      <sz val="12"/>
      <color theme="1"/>
      <name val="Courier New"/>
      <family val="3"/>
    </font>
    <font>
      <sz val="10"/>
      <color theme="1"/>
      <name val="Arial Black"/>
      <family val="2"/>
    </font>
    <font>
      <sz val="12"/>
      <color theme="1"/>
      <name val="Arial Black"/>
      <family val="2"/>
    </font>
    <font>
      <b/>
      <sz val="12"/>
      <color theme="1"/>
      <name val="Arial Rounded MT Bold"/>
      <family val="2"/>
    </font>
    <font>
      <sz val="12"/>
      <color theme="1"/>
      <name val="Arial Rounded MT Bold"/>
      <family val="2"/>
    </font>
    <font>
      <b/>
      <sz val="14"/>
      <color theme="1"/>
      <name val="Arial Rounded MT Bold"/>
      <family val="2"/>
    </font>
    <font>
      <b/>
      <sz val="14"/>
      <color rgb="FF000000"/>
      <name val="Arial Rounded MT Bold"/>
      <family val="2"/>
    </font>
    <font>
      <sz val="14"/>
      <color theme="1"/>
      <name val="Arial Rounded MT Bold"/>
      <family val="2"/>
    </font>
    <font>
      <sz val="8"/>
      <color theme="1"/>
      <name val="Arial Rounded MT Bold"/>
      <family val="2"/>
    </font>
    <font>
      <sz val="10"/>
      <color theme="1"/>
      <name val="Times New Roman"/>
      <family val="1"/>
    </font>
    <font>
      <i/>
      <sz val="12"/>
      <color theme="1"/>
      <name val="Arial Rounded MT Bold"/>
      <family val="2"/>
    </font>
    <font>
      <sz val="12"/>
      <color theme="1"/>
      <name val="Times New Roman"/>
      <family val="1"/>
    </font>
    <font>
      <i/>
      <u/>
      <sz val="12"/>
      <color theme="1"/>
      <name val="Times New Roman"/>
      <family val="1"/>
    </font>
    <font>
      <u/>
      <sz val="12"/>
      <color theme="1"/>
      <name val="Times New Roman"/>
      <family val="1"/>
    </font>
    <font>
      <sz val="16"/>
      <color rgb="FF000000"/>
      <name val="Calibri"/>
      <family val="2"/>
    </font>
    <font>
      <sz val="11"/>
      <color rgb="FF000000"/>
      <name val="Calibri"/>
      <family val="2"/>
    </font>
    <font>
      <b/>
      <sz val="11"/>
      <color rgb="FF000000"/>
      <name val="Calibri"/>
      <family val="2"/>
    </font>
    <font>
      <b/>
      <sz val="18"/>
      <color theme="1"/>
      <name val="Calibri"/>
      <family val="2"/>
      <scheme val="minor"/>
    </font>
    <font>
      <sz val="12"/>
      <color rgb="FF0D0D0D"/>
      <name val="Segoe UI"/>
      <family val="2"/>
    </font>
    <font>
      <sz val="10"/>
      <name val="Arial"/>
      <family val="2"/>
    </font>
    <font>
      <b/>
      <sz val="9"/>
      <name val="Tahoma"/>
      <family val="2"/>
    </font>
    <font>
      <sz val="8"/>
      <name val="Tahoma"/>
      <family val="2"/>
    </font>
    <font>
      <b/>
      <sz val="8"/>
      <name val="Tahoma"/>
      <family val="2"/>
    </font>
    <font>
      <sz val="9"/>
      <name val="Tahoma"/>
      <family val="2"/>
    </font>
    <font>
      <b/>
      <sz val="10"/>
      <name val="Tahoma"/>
      <family val="2"/>
    </font>
  </fonts>
  <fills count="17">
    <fill>
      <patternFill patternType="none"/>
    </fill>
    <fill>
      <patternFill patternType="gray125"/>
    </fill>
    <fill>
      <patternFill patternType="solid">
        <fgColor theme="9" tint="0.79998168889431442"/>
        <bgColor indexed="64"/>
      </patternFill>
    </fill>
    <fill>
      <patternFill patternType="solid">
        <fgColor theme="0" tint="-4.9989318521683403E-2"/>
        <bgColor theme="0" tint="-4.9989318521683403E-2"/>
      </patternFill>
    </fill>
    <fill>
      <patternFill patternType="solid">
        <fgColor theme="8"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9" tint="0.59996337778862885"/>
        <bgColor indexed="64"/>
      </patternFill>
    </fill>
    <fill>
      <patternFill patternType="solid">
        <fgColor rgb="FFC4D79B"/>
        <bgColor rgb="FF000000"/>
      </patternFill>
    </fill>
    <fill>
      <patternFill patternType="solid">
        <fgColor rgb="FFB1A0C7"/>
        <bgColor rgb="FF000000"/>
      </patternFill>
    </fill>
    <fill>
      <patternFill patternType="solid">
        <fgColor rgb="FFFFFF00"/>
        <bgColor rgb="FF000000"/>
      </patternFill>
    </fill>
    <fill>
      <patternFill patternType="solid">
        <fgColor rgb="FFFABF8F"/>
        <bgColor rgb="FF000000"/>
      </patternFill>
    </fill>
    <fill>
      <patternFill patternType="solid">
        <fgColor rgb="FFB8CCE4"/>
        <bgColor rgb="FF000000"/>
      </patternFill>
    </fill>
    <fill>
      <patternFill patternType="solid">
        <fgColor indexed="22"/>
        <bgColor indexed="64"/>
      </patternFill>
    </fill>
    <fill>
      <patternFill patternType="solid">
        <fgColor indexed="9"/>
        <bgColor indexed="64"/>
      </patternFill>
    </fill>
    <fill>
      <patternFill patternType="solid">
        <fgColor indexed="43"/>
        <bgColor indexed="64"/>
      </patternFill>
    </fill>
    <fill>
      <patternFill patternType="solid">
        <fgColor rgb="FFFFFF99"/>
        <bgColor indexed="64"/>
      </patternFill>
    </fill>
  </fills>
  <borders count="33">
    <border>
      <left/>
      <right/>
      <top/>
      <bottom/>
      <diagonal/>
    </border>
    <border>
      <left/>
      <right/>
      <top style="thin">
        <color auto="1"/>
      </top>
      <bottom style="thin">
        <color auto="1"/>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hair">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s>
  <cellStyleXfs count="1">
    <xf numFmtId="0" fontId="0" fillId="0" borderId="0"/>
  </cellStyleXfs>
  <cellXfs count="164">
    <xf numFmtId="0" fontId="0" fillId="0" borderId="0" xfId="0"/>
    <xf numFmtId="0" fontId="1" fillId="0" borderId="0" xfId="0" applyFont="1"/>
    <xf numFmtId="0" fontId="0" fillId="0" borderId="0" xfId="0" applyAlignment="1">
      <alignment horizontal="center"/>
    </xf>
    <xf numFmtId="0" fontId="0" fillId="0" borderId="0" xfId="0" applyAlignment="1">
      <alignment vertical="top"/>
    </xf>
    <xf numFmtId="0" fontId="1" fillId="0" borderId="0" xfId="0" applyFont="1" applyAlignment="1">
      <alignment horizontal="left" vertical="top"/>
    </xf>
    <xf numFmtId="0" fontId="2" fillId="2" borderId="0" xfId="0" applyFont="1" applyFill="1" applyAlignment="1">
      <alignment horizontal="center" vertical="center" wrapText="1"/>
    </xf>
    <xf numFmtId="0" fontId="3" fillId="0" borderId="1" xfId="0" applyFont="1" applyBorder="1" applyAlignment="1">
      <alignment horizontal="center" vertical="top" wrapText="1"/>
    </xf>
    <xf numFmtId="0" fontId="3" fillId="0" borderId="1" xfId="0" applyFont="1" applyBorder="1" applyAlignment="1">
      <alignment horizontal="left" vertical="top" wrapText="1"/>
    </xf>
    <xf numFmtId="0" fontId="4"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6" fillId="0" borderId="2" xfId="0" applyFont="1" applyBorder="1" applyAlignment="1">
      <alignment vertical="top" wrapText="1"/>
    </xf>
    <xf numFmtId="0" fontId="6" fillId="0" borderId="3" xfId="0" applyFont="1" applyBorder="1" applyAlignment="1">
      <alignment vertical="top" wrapText="1"/>
    </xf>
    <xf numFmtId="0" fontId="7" fillId="0" borderId="0" xfId="0" applyFont="1"/>
    <xf numFmtId="0" fontId="0" fillId="0" borderId="0" xfId="0" applyAlignment="1">
      <alignment horizontal="left" vertical="top" wrapText="1"/>
    </xf>
    <xf numFmtId="0" fontId="0" fillId="0" borderId="0" xfId="0" applyAlignment="1">
      <alignment horizontal="center" vertical="top" wrapText="1"/>
    </xf>
    <xf numFmtId="0" fontId="0" fillId="0" borderId="0" xfId="0" applyAlignment="1">
      <alignment horizontal="center" vertical="top"/>
    </xf>
    <xf numFmtId="0" fontId="0" fillId="0" borderId="1" xfId="0" applyBorder="1" applyAlignment="1">
      <alignment horizontal="center" vertical="top" wrapText="1"/>
    </xf>
    <xf numFmtId="0" fontId="0" fillId="0" borderId="1" xfId="0" applyBorder="1" applyAlignment="1">
      <alignment horizontal="left" vertical="top" wrapText="1"/>
    </xf>
    <xf numFmtId="0" fontId="9" fillId="4" borderId="0" xfId="0" applyFont="1" applyFill="1" applyAlignment="1">
      <alignment horizontal="center" vertical="center" wrapText="1"/>
    </xf>
    <xf numFmtId="0" fontId="8" fillId="4" borderId="0" xfId="0" applyFont="1" applyFill="1" applyAlignment="1">
      <alignment horizontal="center" vertical="center" wrapText="1"/>
    </xf>
    <xf numFmtId="0" fontId="1" fillId="0" borderId="0" xfId="0" applyFont="1" applyAlignment="1">
      <alignment vertical="top"/>
    </xf>
    <xf numFmtId="0" fontId="14" fillId="0" borderId="7" xfId="0" applyFont="1" applyBorder="1" applyAlignment="1">
      <alignment horizontal="left" vertical="center" wrapText="1"/>
    </xf>
    <xf numFmtId="0" fontId="14" fillId="0" borderId="8" xfId="0" applyFont="1" applyBorder="1" applyAlignment="1">
      <alignment horizontal="left" vertical="center" wrapText="1"/>
    </xf>
    <xf numFmtId="0" fontId="14" fillId="0" borderId="0" xfId="0" applyFont="1" applyAlignment="1">
      <alignment vertical="center" wrapText="1"/>
    </xf>
    <xf numFmtId="0" fontId="14" fillId="0" borderId="13" xfId="0" applyFont="1" applyBorder="1" applyAlignment="1">
      <alignment vertical="center" wrapText="1"/>
    </xf>
    <xf numFmtId="0" fontId="14" fillId="0" borderId="10" xfId="0" applyFont="1" applyBorder="1" applyAlignment="1">
      <alignment horizontal="left" vertical="center" wrapText="1"/>
    </xf>
    <xf numFmtId="0" fontId="14" fillId="0" borderId="11" xfId="0" applyFont="1" applyBorder="1" applyAlignment="1">
      <alignment horizontal="left" vertical="center" wrapText="1"/>
    </xf>
    <xf numFmtId="0" fontId="14" fillId="0" borderId="11" xfId="0" applyFont="1" applyBorder="1" applyAlignment="1">
      <alignment vertical="center" wrapText="1"/>
    </xf>
    <xf numFmtId="0" fontId="16" fillId="0" borderId="14" xfId="0" applyFont="1" applyBorder="1" applyAlignment="1">
      <alignment vertical="center" wrapText="1"/>
    </xf>
    <xf numFmtId="15" fontId="16" fillId="0" borderId="8" xfId="0" applyNumberFormat="1" applyFont="1" applyBorder="1" applyAlignment="1">
      <alignment horizontal="center" vertical="center" wrapText="1"/>
    </xf>
    <xf numFmtId="0" fontId="16" fillId="0" borderId="0" xfId="0" applyFont="1" applyAlignment="1">
      <alignment horizontal="right" vertical="center" wrapText="1"/>
    </xf>
    <xf numFmtId="49" fontId="16" fillId="0" borderId="8" xfId="0" applyNumberFormat="1" applyFont="1" applyBorder="1" applyAlignment="1">
      <alignment horizontal="center" vertical="center" wrapText="1"/>
    </xf>
    <xf numFmtId="0" fontId="16" fillId="0" borderId="9" xfId="0" applyFont="1" applyBorder="1" applyAlignment="1">
      <alignment horizontal="center" vertical="center" wrapText="1"/>
    </xf>
    <xf numFmtId="0" fontId="17" fillId="0" borderId="14" xfId="0" applyFont="1" applyBorder="1" applyAlignment="1">
      <alignment horizontal="justify" vertical="center"/>
    </xf>
    <xf numFmtId="0" fontId="0" fillId="0" borderId="13" xfId="0" applyBorder="1"/>
    <xf numFmtId="0" fontId="17" fillId="0" borderId="14" xfId="0" applyFont="1" applyBorder="1" applyAlignment="1">
      <alignment horizontal="left" vertical="center" wrapText="1"/>
    </xf>
    <xf numFmtId="0" fontId="17" fillId="0" borderId="0" xfId="0" applyFont="1" applyAlignment="1">
      <alignment horizontal="left" vertical="center" wrapText="1"/>
    </xf>
    <xf numFmtId="0" fontId="18" fillId="0" borderId="0" xfId="0" applyFont="1" applyAlignment="1">
      <alignment horizontal="left" vertical="center" wrapText="1"/>
    </xf>
    <xf numFmtId="0" fontId="0" fillId="0" borderId="0" xfId="0" applyAlignment="1">
      <alignment horizontal="left"/>
    </xf>
    <xf numFmtId="0" fontId="0" fillId="0" borderId="13" xfId="0" applyBorder="1" applyAlignment="1">
      <alignment horizontal="left"/>
    </xf>
    <xf numFmtId="0" fontId="19" fillId="0" borderId="8" xfId="0" applyFont="1" applyBorder="1" applyAlignment="1">
      <alignment horizontal="left" vertical="center" wrapText="1"/>
    </xf>
    <xf numFmtId="0" fontId="19" fillId="0" borderId="9" xfId="0" applyFont="1" applyBorder="1" applyAlignment="1">
      <alignment horizontal="left" vertical="center" wrapText="1"/>
    </xf>
    <xf numFmtId="0" fontId="20" fillId="0" borderId="14" xfId="0" applyFont="1" applyBorder="1" applyAlignment="1">
      <alignment horizontal="justify" vertical="center"/>
    </xf>
    <xf numFmtId="15" fontId="19" fillId="0" borderId="8" xfId="0" applyNumberFormat="1" applyFont="1" applyBorder="1" applyAlignment="1">
      <alignment horizontal="left" vertical="center" wrapText="1"/>
    </xf>
    <xf numFmtId="0" fontId="19" fillId="0" borderId="0" xfId="0" applyFont="1" applyAlignment="1">
      <alignment horizontal="center" vertical="center" wrapText="1"/>
    </xf>
    <xf numFmtId="0" fontId="21" fillId="5" borderId="8" xfId="0" applyFont="1" applyFill="1" applyBorder="1" applyAlignment="1">
      <alignment vertical="center" wrapText="1"/>
    </xf>
    <xf numFmtId="0" fontId="20" fillId="5" borderId="8" xfId="0" applyFont="1" applyFill="1" applyBorder="1" applyAlignment="1">
      <alignment vertical="center" wrapText="1"/>
    </xf>
    <xf numFmtId="0" fontId="21" fillId="5" borderId="8" xfId="0" applyFont="1" applyFill="1" applyBorder="1" applyAlignment="1">
      <alignment horizontal="right" vertical="center" wrapText="1"/>
    </xf>
    <xf numFmtId="0" fontId="20" fillId="0" borderId="13" xfId="0" applyFont="1" applyBorder="1" applyAlignment="1">
      <alignment vertical="center" wrapText="1"/>
    </xf>
    <xf numFmtId="0" fontId="21" fillId="5" borderId="11" xfId="0" applyFont="1" applyFill="1" applyBorder="1" applyAlignment="1">
      <alignment vertical="center" wrapText="1"/>
    </xf>
    <xf numFmtId="0" fontId="20" fillId="5" borderId="11" xfId="0" applyFont="1" applyFill="1" applyBorder="1" applyAlignment="1">
      <alignment vertical="center" wrapText="1"/>
    </xf>
    <xf numFmtId="8" fontId="20" fillId="0" borderId="11" xfId="0" applyNumberFormat="1" applyFont="1" applyBorder="1" applyAlignment="1">
      <alignment vertical="center" wrapText="1"/>
    </xf>
    <xf numFmtId="0" fontId="20" fillId="0" borderId="11" xfId="0" applyFont="1" applyBorder="1" applyAlignment="1">
      <alignment vertical="center" wrapText="1"/>
    </xf>
    <xf numFmtId="8" fontId="20" fillId="0" borderId="8" xfId="0" applyNumberFormat="1" applyFont="1" applyBorder="1" applyAlignment="1">
      <alignment horizontal="right" vertical="center" wrapText="1"/>
    </xf>
    <xf numFmtId="0" fontId="17" fillId="0" borderId="14" xfId="0" applyFont="1" applyBorder="1" applyAlignment="1">
      <alignment horizontal="center" vertical="center" wrapText="1"/>
    </xf>
    <xf numFmtId="0" fontId="17" fillId="0" borderId="0" xfId="0" applyFont="1" applyAlignment="1">
      <alignment horizontal="center" vertical="center" wrapText="1"/>
    </xf>
    <xf numFmtId="0" fontId="17" fillId="0" borderId="11" xfId="0" applyFont="1" applyBorder="1" applyAlignment="1">
      <alignment vertical="center" wrapText="1"/>
    </xf>
    <xf numFmtId="9" fontId="22" fillId="0" borderId="11" xfId="0" applyNumberFormat="1" applyFont="1" applyBorder="1" applyAlignment="1">
      <alignment vertical="center" wrapText="1"/>
    </xf>
    <xf numFmtId="164" fontId="22" fillId="0" borderId="13" xfId="0" applyNumberFormat="1" applyFont="1" applyBorder="1" applyAlignment="1">
      <alignment horizontal="left" vertical="center" wrapText="1"/>
    </xf>
    <xf numFmtId="8" fontId="20" fillId="0" borderId="5" xfId="0" applyNumberFormat="1" applyFont="1" applyBorder="1" applyAlignment="1">
      <alignment vertical="center" wrapText="1"/>
    </xf>
    <xf numFmtId="0" fontId="22" fillId="0" borderId="5" xfId="0" applyFont="1" applyBorder="1" applyAlignment="1">
      <alignment vertical="center" wrapText="1"/>
    </xf>
    <xf numFmtId="8" fontId="20" fillId="0" borderId="0" xfId="0" applyNumberFormat="1" applyFont="1" applyAlignment="1">
      <alignment horizontal="right" vertical="center" wrapText="1"/>
    </xf>
    <xf numFmtId="0" fontId="22" fillId="0" borderId="13" xfId="0" applyFont="1" applyBorder="1" applyAlignment="1">
      <alignment vertical="center" wrapText="1"/>
    </xf>
    <xf numFmtId="0" fontId="23" fillId="0" borderId="14" xfId="0" applyFont="1" applyBorder="1" applyAlignment="1">
      <alignment horizontal="left" vertical="center" wrapText="1"/>
    </xf>
    <xf numFmtId="0" fontId="23" fillId="0" borderId="0" xfId="0" applyFont="1" applyAlignment="1">
      <alignment horizontal="left" vertical="center" wrapText="1"/>
    </xf>
    <xf numFmtId="8" fontId="20" fillId="0" borderId="8" xfId="0" applyNumberFormat="1" applyFont="1" applyBorder="1" applyAlignment="1">
      <alignment vertical="center" wrapText="1"/>
    </xf>
    <xf numFmtId="0" fontId="22" fillId="0" borderId="8" xfId="0" applyFont="1" applyBorder="1" applyAlignment="1">
      <alignment vertical="center" wrapText="1"/>
    </xf>
    <xf numFmtId="8" fontId="20" fillId="0" borderId="8" xfId="0" applyNumberFormat="1" applyFont="1" applyBorder="1" applyAlignment="1">
      <alignment horizontal="right" vertical="center" wrapText="1"/>
    </xf>
    <xf numFmtId="0" fontId="24" fillId="0" borderId="14" xfId="0" applyFont="1" applyBorder="1" applyAlignment="1">
      <alignment vertical="center"/>
    </xf>
    <xf numFmtId="0" fontId="20" fillId="0" borderId="14" xfId="0" applyFont="1" applyBorder="1" applyAlignment="1">
      <alignment vertical="center"/>
    </xf>
    <xf numFmtId="0" fontId="0" fillId="0" borderId="14" xfId="0" applyBorder="1"/>
    <xf numFmtId="0" fontId="26" fillId="0" borderId="7" xfId="0" applyFont="1" applyBorder="1" applyAlignment="1">
      <alignment horizontal="center" vertical="center"/>
    </xf>
    <xf numFmtId="0" fontId="26" fillId="0" borderId="8" xfId="0" applyFont="1" applyBorder="1" applyAlignment="1">
      <alignment horizontal="center" vertical="center"/>
    </xf>
    <xf numFmtId="0" fontId="26" fillId="0" borderId="9" xfId="0" applyFont="1" applyBorder="1" applyAlignment="1">
      <alignment horizontal="center" vertical="center"/>
    </xf>
    <xf numFmtId="0" fontId="11" fillId="6" borderId="4" xfId="0" applyFont="1" applyFill="1" applyBorder="1" applyAlignment="1">
      <alignment horizontal="center" vertical="center" wrapText="1"/>
    </xf>
    <xf numFmtId="0" fontId="11" fillId="6" borderId="5" xfId="0" applyFont="1" applyFill="1" applyBorder="1" applyAlignment="1">
      <alignment horizontal="center" vertical="center" wrapText="1"/>
    </xf>
    <xf numFmtId="0" fontId="11" fillId="6" borderId="6" xfId="0" applyFont="1" applyFill="1" applyBorder="1" applyAlignment="1">
      <alignment horizontal="center" vertical="center" wrapText="1"/>
    </xf>
    <xf numFmtId="0" fontId="12" fillId="6" borderId="7" xfId="0" applyFont="1" applyFill="1" applyBorder="1" applyAlignment="1">
      <alignment horizontal="center" vertical="center" wrapText="1"/>
    </xf>
    <xf numFmtId="0" fontId="12" fillId="6" borderId="8" xfId="0" applyFont="1" applyFill="1" applyBorder="1" applyAlignment="1">
      <alignment horizontal="center" vertical="center" wrapText="1"/>
    </xf>
    <xf numFmtId="0" fontId="12" fillId="6" borderId="9" xfId="0" applyFont="1" applyFill="1" applyBorder="1" applyAlignment="1">
      <alignment horizontal="center" vertical="center" wrapText="1"/>
    </xf>
    <xf numFmtId="0" fontId="13" fillId="6" borderId="10" xfId="0" applyFont="1" applyFill="1" applyBorder="1" applyAlignment="1">
      <alignment horizontal="center" vertical="center" wrapText="1"/>
    </xf>
    <xf numFmtId="0" fontId="13" fillId="6" borderId="11" xfId="0" applyFont="1" applyFill="1" applyBorder="1" applyAlignment="1">
      <alignment horizontal="center" vertical="center" wrapText="1"/>
    </xf>
    <xf numFmtId="0" fontId="13" fillId="6" borderId="12" xfId="0" applyFont="1" applyFill="1" applyBorder="1" applyAlignment="1">
      <alignment horizontal="center" vertical="center" wrapText="1"/>
    </xf>
    <xf numFmtId="0" fontId="14" fillId="0" borderId="10" xfId="0" applyFont="1" applyBorder="1" applyAlignment="1">
      <alignment horizontal="left" vertical="center"/>
    </xf>
    <xf numFmtId="0" fontId="0" fillId="0" borderId="0" xfId="0" applyNumberFormat="1"/>
    <xf numFmtId="14" fontId="0" fillId="0" borderId="0" xfId="0" applyNumberFormat="1"/>
    <xf numFmtId="0" fontId="8" fillId="0" borderId="0" xfId="0" applyFont="1"/>
    <xf numFmtId="0" fontId="24" fillId="0" borderId="0" xfId="0" applyFont="1"/>
    <xf numFmtId="0" fontId="29" fillId="0" borderId="0" xfId="0" applyFont="1" applyAlignment="1">
      <alignment vertical="center"/>
    </xf>
    <xf numFmtId="0" fontId="30" fillId="0" borderId="15" xfId="0" applyFont="1" applyBorder="1" applyAlignment="1">
      <alignment horizontal="center" vertical="center"/>
    </xf>
    <xf numFmtId="0" fontId="30" fillId="0" borderId="16" xfId="0" applyFont="1" applyBorder="1" applyAlignment="1">
      <alignment horizontal="center" vertical="center"/>
    </xf>
    <xf numFmtId="0" fontId="30" fillId="0" borderId="16" xfId="0" applyFont="1" applyBorder="1" applyAlignment="1">
      <alignment horizontal="center" vertical="center" wrapText="1"/>
    </xf>
    <xf numFmtId="0" fontId="30" fillId="0" borderId="17" xfId="0" applyFont="1" applyBorder="1" applyAlignment="1">
      <alignment horizontal="center" vertical="center" wrapText="1"/>
    </xf>
    <xf numFmtId="0" fontId="30" fillId="0" borderId="18" xfId="0" applyFont="1" applyBorder="1" applyAlignment="1">
      <alignment horizontal="center" vertical="center"/>
    </xf>
    <xf numFmtId="15" fontId="30" fillId="0" borderId="19" xfId="0" applyNumberFormat="1" applyFont="1" applyBorder="1" applyAlignment="1">
      <alignment horizontal="center" vertical="center"/>
    </xf>
    <xf numFmtId="0" fontId="30" fillId="0" borderId="19" xfId="0" applyFont="1" applyBorder="1" applyAlignment="1">
      <alignment horizontal="center" vertical="center"/>
    </xf>
    <xf numFmtId="0" fontId="30" fillId="0" borderId="20" xfId="0" applyFont="1" applyBorder="1" applyAlignment="1">
      <alignment horizontal="center" vertical="center"/>
    </xf>
    <xf numFmtId="0" fontId="30" fillId="0" borderId="21" xfId="0" applyFont="1" applyBorder="1" applyAlignment="1">
      <alignment horizontal="center" vertical="center"/>
    </xf>
    <xf numFmtId="15" fontId="30" fillId="0" borderId="22" xfId="0" applyNumberFormat="1" applyFont="1" applyBorder="1" applyAlignment="1">
      <alignment horizontal="center" vertical="center"/>
    </xf>
    <xf numFmtId="0" fontId="30" fillId="0" borderId="22" xfId="0" applyFont="1" applyBorder="1" applyAlignment="1">
      <alignment horizontal="center" vertical="center"/>
    </xf>
    <xf numFmtId="0" fontId="30" fillId="0" borderId="23" xfId="0" applyFont="1" applyBorder="1" applyAlignment="1">
      <alignment horizontal="center" vertical="center"/>
    </xf>
    <xf numFmtId="0" fontId="0" fillId="0" borderId="17" xfId="0" applyBorder="1"/>
    <xf numFmtId="0" fontId="0" fillId="0" borderId="25" xfId="0" applyBorder="1"/>
    <xf numFmtId="0" fontId="9" fillId="7" borderId="19" xfId="0" applyFont="1" applyFill="1" applyBorder="1" applyAlignment="1">
      <alignment horizontal="center" vertical="center"/>
    </xf>
    <xf numFmtId="0" fontId="9" fillId="7" borderId="19" xfId="0" applyFont="1" applyFill="1" applyBorder="1" applyAlignment="1">
      <alignment horizontal="center" vertical="center" wrapText="1"/>
    </xf>
    <xf numFmtId="0" fontId="0" fillId="0" borderId="19" xfId="0" applyBorder="1"/>
    <xf numFmtId="0" fontId="0" fillId="0" borderId="19" xfId="0" applyBorder="1" applyAlignment="1">
      <alignment horizontal="center"/>
    </xf>
    <xf numFmtId="0" fontId="32" fillId="0" borderId="25" xfId="0" applyFont="1" applyBorder="1" applyAlignment="1">
      <alignment vertical="center"/>
    </xf>
    <xf numFmtId="0" fontId="0" fillId="0" borderId="0" xfId="0" applyAlignment="1">
      <alignment horizontal="center"/>
    </xf>
    <xf numFmtId="0" fontId="0" fillId="0" borderId="26" xfId="0" applyBorder="1" applyAlignment="1">
      <alignment horizontal="center" wrapText="1"/>
    </xf>
    <xf numFmtId="0" fontId="0" fillId="0" borderId="27" xfId="0" applyBorder="1" applyAlignment="1">
      <alignment horizontal="center" wrapText="1"/>
    </xf>
    <xf numFmtId="0" fontId="0" fillId="5" borderId="0" xfId="0" applyFill="1"/>
    <xf numFmtId="0" fontId="9" fillId="0" borderId="0" xfId="0" applyFont="1" applyAlignment="1">
      <alignment horizontal="center"/>
    </xf>
    <xf numFmtId="0" fontId="31" fillId="0" borderId="19" xfId="0" applyFont="1" applyBorder="1" applyAlignment="1">
      <alignment horizontal="center" vertical="center"/>
    </xf>
    <xf numFmtId="0" fontId="31" fillId="8" borderId="19" xfId="0" applyFont="1" applyFill="1" applyBorder="1" applyAlignment="1">
      <alignment horizontal="center"/>
    </xf>
    <xf numFmtId="9" fontId="31" fillId="8" borderId="19" xfId="0" applyNumberFormat="1" applyFont="1" applyFill="1" applyBorder="1" applyAlignment="1">
      <alignment horizontal="center"/>
    </xf>
    <xf numFmtId="0" fontId="31" fillId="8" borderId="19" xfId="0" applyFont="1" applyFill="1" applyBorder="1" applyAlignment="1">
      <alignment horizontal="left"/>
    </xf>
    <xf numFmtId="0" fontId="31" fillId="9" borderId="19" xfId="0" applyFont="1" applyFill="1" applyBorder="1" applyAlignment="1">
      <alignment horizontal="center"/>
    </xf>
    <xf numFmtId="9" fontId="31" fillId="9" borderId="19" xfId="0" applyNumberFormat="1" applyFont="1" applyFill="1" applyBorder="1" applyAlignment="1">
      <alignment horizontal="center"/>
    </xf>
    <xf numFmtId="0" fontId="31" fillId="9" borderId="19" xfId="0" applyFont="1" applyFill="1" applyBorder="1" applyAlignment="1">
      <alignment horizontal="left"/>
    </xf>
    <xf numFmtId="0" fontId="31" fillId="10" borderId="19" xfId="0" applyFont="1" applyFill="1" applyBorder="1" applyAlignment="1">
      <alignment horizontal="center"/>
    </xf>
    <xf numFmtId="9" fontId="31" fillId="10" borderId="19" xfId="0" applyNumberFormat="1" applyFont="1" applyFill="1" applyBorder="1" applyAlignment="1">
      <alignment horizontal="center"/>
    </xf>
    <xf numFmtId="0" fontId="31" fillId="10" borderId="19" xfId="0" applyFont="1" applyFill="1" applyBorder="1" applyAlignment="1">
      <alignment horizontal="left"/>
    </xf>
    <xf numFmtId="0" fontId="31" fillId="11" borderId="19" xfId="0" applyFont="1" applyFill="1" applyBorder="1" applyAlignment="1">
      <alignment horizontal="center"/>
    </xf>
    <xf numFmtId="0" fontId="31" fillId="11" borderId="19" xfId="0" applyFont="1" applyFill="1" applyBorder="1" applyAlignment="1">
      <alignment horizontal="left"/>
    </xf>
    <xf numFmtId="0" fontId="31" fillId="12" borderId="19" xfId="0" applyFont="1" applyFill="1" applyBorder="1" applyAlignment="1">
      <alignment horizontal="center"/>
    </xf>
    <xf numFmtId="0" fontId="31" fillId="12" borderId="19" xfId="0" applyFont="1" applyFill="1" applyBorder="1" applyAlignment="1">
      <alignment horizontal="left"/>
    </xf>
    <xf numFmtId="0" fontId="33" fillId="0" borderId="0" xfId="0" applyFont="1" applyAlignment="1">
      <alignment horizontal="left" vertical="top" wrapText="1"/>
    </xf>
    <xf numFmtId="0" fontId="34" fillId="0" borderId="28" xfId="0" applyFont="1" applyBorder="1" applyAlignment="1">
      <alignment horizontal="left" vertical="center" wrapText="1"/>
    </xf>
    <xf numFmtId="0" fontId="0" fillId="0" borderId="23" xfId="0" applyBorder="1" applyAlignment="1" applyProtection="1">
      <alignment horizontal="left" vertical="center" wrapText="1"/>
      <protection locked="0"/>
    </xf>
    <xf numFmtId="0" fontId="0" fillId="0" borderId="24" xfId="0" applyBorder="1" applyAlignment="1" applyProtection="1">
      <alignment horizontal="left" vertical="center" wrapText="1"/>
      <protection locked="0"/>
    </xf>
    <xf numFmtId="0" fontId="0" fillId="0" borderId="21" xfId="0" applyBorder="1" applyAlignment="1" applyProtection="1">
      <alignment horizontal="left" vertical="center" wrapText="1"/>
      <protection locked="0"/>
    </xf>
    <xf numFmtId="0" fontId="0" fillId="0" borderId="0" xfId="0" applyAlignment="1">
      <alignment horizontal="left" vertical="center" wrapText="1"/>
    </xf>
    <xf numFmtId="0" fontId="34" fillId="0" borderId="20" xfId="0" applyFont="1"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0" fillId="0" borderId="18" xfId="0" applyBorder="1" applyAlignment="1" applyProtection="1">
      <alignment horizontal="left" vertical="center" wrapText="1"/>
      <protection locked="0"/>
    </xf>
    <xf numFmtId="0" fontId="0" fillId="0" borderId="0" xfId="0" applyAlignment="1" applyProtection="1">
      <alignment horizontal="left" vertical="center" wrapText="1"/>
      <protection locked="0"/>
    </xf>
    <xf numFmtId="0" fontId="0" fillId="0" borderId="25" xfId="0" applyBorder="1" applyAlignment="1">
      <alignment horizontal="left" vertical="center" wrapText="1"/>
    </xf>
    <xf numFmtId="0" fontId="0" fillId="0" borderId="25" xfId="0" applyBorder="1" applyAlignment="1" applyProtection="1">
      <alignment horizontal="left" vertical="center" wrapText="1"/>
      <protection locked="0"/>
    </xf>
    <xf numFmtId="0" fontId="0" fillId="0" borderId="15" xfId="0" applyBorder="1" applyAlignment="1" applyProtection="1">
      <alignment horizontal="left" vertical="center" wrapText="1"/>
      <protection locked="0"/>
    </xf>
    <xf numFmtId="0" fontId="0" fillId="0" borderId="20" xfId="0" applyBorder="1" applyAlignment="1" applyProtection="1">
      <alignment horizontal="left" vertical="center"/>
      <protection locked="0"/>
    </xf>
    <xf numFmtId="169" fontId="0" fillId="0" borderId="1" xfId="0" applyNumberFormat="1" applyBorder="1" applyAlignment="1" applyProtection="1">
      <alignment horizontal="left" vertical="center" wrapText="1"/>
      <protection locked="0"/>
    </xf>
    <xf numFmtId="0" fontId="35" fillId="13" borderId="19" xfId="0" applyFont="1" applyFill="1" applyBorder="1" applyAlignment="1">
      <alignment horizontal="center" vertical="center" wrapText="1"/>
    </xf>
    <xf numFmtId="0" fontId="35" fillId="13" borderId="19" xfId="0" applyFont="1" applyFill="1" applyBorder="1" applyAlignment="1">
      <alignment horizontal="center" vertical="center" textRotation="255" wrapText="1"/>
    </xf>
    <xf numFmtId="0" fontId="35" fillId="13" borderId="29" xfId="0" applyFont="1" applyFill="1" applyBorder="1" applyAlignment="1">
      <alignment horizontal="center" vertical="center" textRotation="255" wrapText="1"/>
    </xf>
    <xf numFmtId="0" fontId="35" fillId="13" borderId="30" xfId="0" applyFont="1" applyFill="1" applyBorder="1" applyAlignment="1">
      <alignment horizontal="center" vertical="center" wrapText="1"/>
    </xf>
    <xf numFmtId="0" fontId="35" fillId="13" borderId="18" xfId="0" applyFont="1" applyFill="1" applyBorder="1" applyAlignment="1">
      <alignment horizontal="center" vertical="center" textRotation="255" wrapText="1"/>
    </xf>
    <xf numFmtId="0" fontId="36" fillId="2" borderId="19" xfId="0" applyFont="1" applyFill="1" applyBorder="1" applyAlignment="1">
      <alignment horizontal="left" vertical="top" wrapText="1"/>
    </xf>
    <xf numFmtId="0" fontId="37" fillId="2" borderId="19" xfId="0" applyFont="1" applyFill="1" applyBorder="1" applyAlignment="1">
      <alignment horizontal="center" vertical="top" wrapText="1"/>
    </xf>
    <xf numFmtId="0" fontId="35" fillId="2" borderId="19" xfId="0" applyFont="1" applyFill="1" applyBorder="1" applyAlignment="1">
      <alignment horizontal="center" vertical="top" wrapText="1"/>
    </xf>
    <xf numFmtId="0" fontId="36" fillId="2" borderId="30" xfId="0" applyFont="1" applyFill="1" applyBorder="1" applyAlignment="1">
      <alignment horizontal="left" vertical="top" wrapText="1"/>
    </xf>
    <xf numFmtId="0" fontId="36" fillId="14" borderId="18" xfId="0" applyFont="1" applyFill="1" applyBorder="1" applyAlignment="1">
      <alignment horizontal="center" vertical="top" textRotation="255" wrapText="1"/>
    </xf>
    <xf numFmtId="0" fontId="36" fillId="14" borderId="19" xfId="0" applyFont="1" applyFill="1" applyBorder="1" applyAlignment="1">
      <alignment horizontal="center" vertical="top" textRotation="255" wrapText="1"/>
    </xf>
    <xf numFmtId="0" fontId="36" fillId="14" borderId="29" xfId="0" applyFont="1" applyFill="1" applyBorder="1" applyAlignment="1">
      <alignment horizontal="center" vertical="top" textRotation="255" wrapText="1"/>
    </xf>
    <xf numFmtId="0" fontId="38" fillId="0" borderId="19" xfId="0" applyFont="1" applyBorder="1" applyAlignment="1">
      <alignment horizontal="left" vertical="top" wrapText="1"/>
    </xf>
    <xf numFmtId="0" fontId="38" fillId="0" borderId="19" xfId="0" applyFont="1" applyBorder="1" applyAlignment="1">
      <alignment horizontal="center" vertical="top" wrapText="1"/>
    </xf>
    <xf numFmtId="0" fontId="0" fillId="0" borderId="19" xfId="0" applyBorder="1" applyAlignment="1">
      <alignment horizontal="left" vertical="top" wrapText="1"/>
    </xf>
    <xf numFmtId="0" fontId="38" fillId="0" borderId="29" xfId="0" applyFont="1" applyBorder="1" applyAlignment="1">
      <alignment horizontal="center" vertical="top" wrapText="1"/>
    </xf>
    <xf numFmtId="0" fontId="39" fillId="15" borderId="31" xfId="0" applyFont="1" applyFill="1" applyBorder="1" applyAlignment="1">
      <alignment horizontal="center" vertical="top" wrapText="1"/>
    </xf>
    <xf numFmtId="0" fontId="0" fillId="0" borderId="32" xfId="0" applyBorder="1" applyAlignment="1">
      <alignment horizontal="left" vertical="top" wrapText="1"/>
    </xf>
    <xf numFmtId="0" fontId="38" fillId="0" borderId="30" xfId="0" applyFont="1" applyBorder="1" applyAlignment="1">
      <alignment horizontal="left" vertical="top" wrapText="1"/>
    </xf>
    <xf numFmtId="1" fontId="35" fillId="16" borderId="18" xfId="0" applyNumberFormat="1" applyFont="1" applyFill="1" applyBorder="1" applyAlignment="1">
      <alignment horizontal="center" vertical="top" wrapText="1"/>
    </xf>
    <xf numFmtId="1" fontId="35" fillId="16" borderId="19" xfId="0" applyNumberFormat="1" applyFont="1" applyFill="1" applyBorder="1" applyAlignment="1">
      <alignment horizontal="center" vertical="top" wrapText="1"/>
    </xf>
    <xf numFmtId="0" fontId="0" fillId="0" borderId="0" xfId="0" pivotButton="1"/>
  </cellXfs>
  <cellStyles count="1">
    <cellStyle name="Normal" xfId="0" builtinId="0"/>
  </cellStyles>
  <dxfs count="25">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rgb="FF000000"/>
        <name val="Calibri"/>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numFmt numFmtId="20" formatCode="dd/mmm/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numFmt numFmtId="19" formatCode="yyyy/mm/dd"/>
    </dxf>
    <dxf>
      <numFmt numFmtId="0" formatCode="General"/>
    </dxf>
    <dxf>
      <numFmt numFmtId="0" formatCode="General"/>
    </dxf>
    <dxf>
      <numFmt numFmtId="0" formatCode="Genera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'4 Chart'!$C$2</c:f>
              <c:strCache>
                <c:ptCount val="1"/>
                <c:pt idx="0">
                  <c:v>Not started</c:v>
                </c:pt>
              </c:strCache>
            </c:strRef>
          </c:tx>
          <c:spPr>
            <a:ln w="28575" cap="rnd">
              <a:solidFill>
                <a:srgbClr val="C00000"/>
              </a:solidFill>
              <a:round/>
            </a:ln>
            <a:effectLst/>
          </c:spPr>
          <c:marker>
            <c:symbol val="none"/>
          </c:marker>
          <c:cat>
            <c:numRef>
              <c:f>'4 Chart'!$B$3:$B$10</c:f>
              <c:numCache>
                <c:formatCode>d\-mmm\-yy</c:formatCode>
                <c:ptCount val="8"/>
                <c:pt idx="0">
                  <c:v>41313</c:v>
                </c:pt>
                <c:pt idx="1">
                  <c:v>41320</c:v>
                </c:pt>
                <c:pt idx="2">
                  <c:v>41327</c:v>
                </c:pt>
                <c:pt idx="3">
                  <c:v>41334</c:v>
                </c:pt>
                <c:pt idx="4">
                  <c:v>41341</c:v>
                </c:pt>
                <c:pt idx="5">
                  <c:v>41348</c:v>
                </c:pt>
                <c:pt idx="6">
                  <c:v>41355</c:v>
                </c:pt>
                <c:pt idx="7">
                  <c:v>41362</c:v>
                </c:pt>
              </c:numCache>
            </c:numRef>
          </c:cat>
          <c:val>
            <c:numRef>
              <c:f>'4 Chart'!$C$3:$C$10</c:f>
              <c:numCache>
                <c:formatCode>General</c:formatCode>
                <c:ptCount val="8"/>
                <c:pt idx="0">
                  <c:v>13</c:v>
                </c:pt>
                <c:pt idx="1">
                  <c:v>6</c:v>
                </c:pt>
                <c:pt idx="2">
                  <c:v>2</c:v>
                </c:pt>
                <c:pt idx="3">
                  <c:v>1</c:v>
                </c:pt>
                <c:pt idx="4">
                  <c:v>0</c:v>
                </c:pt>
                <c:pt idx="5">
                  <c:v>0</c:v>
                </c:pt>
                <c:pt idx="6">
                  <c:v>0</c:v>
                </c:pt>
                <c:pt idx="7">
                  <c:v>0</c:v>
                </c:pt>
              </c:numCache>
            </c:numRef>
          </c:val>
          <c:smooth val="0"/>
          <c:extLst>
            <c:ext xmlns:c16="http://schemas.microsoft.com/office/drawing/2014/chart" uri="{C3380CC4-5D6E-409C-BE32-E72D297353CC}">
              <c16:uniqueId val="{00000000-4A3D-4340-8FAE-5C8E0775D1FC}"/>
            </c:ext>
          </c:extLst>
        </c:ser>
        <c:ser>
          <c:idx val="1"/>
          <c:order val="1"/>
          <c:tx>
            <c:strRef>
              <c:f>'4 Chart'!$D$2</c:f>
              <c:strCache>
                <c:ptCount val="1"/>
                <c:pt idx="0">
                  <c:v>In Draft</c:v>
                </c:pt>
              </c:strCache>
            </c:strRef>
          </c:tx>
          <c:spPr>
            <a:ln w="28575" cap="rnd">
              <a:solidFill>
                <a:srgbClr val="FFC000"/>
              </a:solidFill>
              <a:round/>
            </a:ln>
            <a:effectLst/>
          </c:spPr>
          <c:marker>
            <c:symbol val="none"/>
          </c:marker>
          <c:cat>
            <c:numRef>
              <c:f>'4 Chart'!$B$3:$B$10</c:f>
              <c:numCache>
                <c:formatCode>d\-mmm\-yy</c:formatCode>
                <c:ptCount val="8"/>
                <c:pt idx="0">
                  <c:v>41313</c:v>
                </c:pt>
                <c:pt idx="1">
                  <c:v>41320</c:v>
                </c:pt>
                <c:pt idx="2">
                  <c:v>41327</c:v>
                </c:pt>
                <c:pt idx="3">
                  <c:v>41334</c:v>
                </c:pt>
                <c:pt idx="4">
                  <c:v>41341</c:v>
                </c:pt>
                <c:pt idx="5">
                  <c:v>41348</c:v>
                </c:pt>
                <c:pt idx="6">
                  <c:v>41355</c:v>
                </c:pt>
                <c:pt idx="7">
                  <c:v>41362</c:v>
                </c:pt>
              </c:numCache>
            </c:numRef>
          </c:cat>
          <c:val>
            <c:numRef>
              <c:f>'4 Chart'!$D$3:$D$10</c:f>
              <c:numCache>
                <c:formatCode>General</c:formatCode>
                <c:ptCount val="8"/>
                <c:pt idx="0">
                  <c:v>18</c:v>
                </c:pt>
                <c:pt idx="1">
                  <c:v>21</c:v>
                </c:pt>
                <c:pt idx="2">
                  <c:v>24</c:v>
                </c:pt>
                <c:pt idx="3">
                  <c:v>28</c:v>
                </c:pt>
                <c:pt idx="4">
                  <c:v>24</c:v>
                </c:pt>
                <c:pt idx="5">
                  <c:v>20</c:v>
                </c:pt>
                <c:pt idx="6">
                  <c:v>10</c:v>
                </c:pt>
                <c:pt idx="7">
                  <c:v>0</c:v>
                </c:pt>
              </c:numCache>
            </c:numRef>
          </c:val>
          <c:smooth val="0"/>
          <c:extLst>
            <c:ext xmlns:c16="http://schemas.microsoft.com/office/drawing/2014/chart" uri="{C3380CC4-5D6E-409C-BE32-E72D297353CC}">
              <c16:uniqueId val="{00000001-4A3D-4340-8FAE-5C8E0775D1FC}"/>
            </c:ext>
          </c:extLst>
        </c:ser>
        <c:ser>
          <c:idx val="2"/>
          <c:order val="2"/>
          <c:tx>
            <c:strRef>
              <c:f>'4 Chart'!$E$2</c:f>
              <c:strCache>
                <c:ptCount val="1"/>
                <c:pt idx="0">
                  <c:v>Drafted</c:v>
                </c:pt>
              </c:strCache>
            </c:strRef>
          </c:tx>
          <c:spPr>
            <a:ln w="28575" cap="rnd">
              <a:solidFill>
                <a:schemeClr val="accent3"/>
              </a:solidFill>
              <a:round/>
            </a:ln>
            <a:effectLst/>
          </c:spPr>
          <c:marker>
            <c:symbol val="none"/>
          </c:marker>
          <c:cat>
            <c:numRef>
              <c:f>'4 Chart'!$B$3:$B$10</c:f>
              <c:numCache>
                <c:formatCode>d\-mmm\-yy</c:formatCode>
                <c:ptCount val="8"/>
                <c:pt idx="0">
                  <c:v>41313</c:v>
                </c:pt>
                <c:pt idx="1">
                  <c:v>41320</c:v>
                </c:pt>
                <c:pt idx="2">
                  <c:v>41327</c:v>
                </c:pt>
                <c:pt idx="3">
                  <c:v>41334</c:v>
                </c:pt>
                <c:pt idx="4">
                  <c:v>41341</c:v>
                </c:pt>
                <c:pt idx="5">
                  <c:v>41348</c:v>
                </c:pt>
                <c:pt idx="6">
                  <c:v>41355</c:v>
                </c:pt>
                <c:pt idx="7">
                  <c:v>41362</c:v>
                </c:pt>
              </c:numCache>
            </c:numRef>
          </c:cat>
          <c:val>
            <c:numRef>
              <c:f>'4 Chart'!$E$3:$E$10</c:f>
              <c:numCache>
                <c:formatCode>General</c:formatCode>
                <c:ptCount val="8"/>
                <c:pt idx="0">
                  <c:v>9</c:v>
                </c:pt>
                <c:pt idx="1">
                  <c:v>12</c:v>
                </c:pt>
                <c:pt idx="2">
                  <c:v>12</c:v>
                </c:pt>
                <c:pt idx="3">
                  <c:v>7</c:v>
                </c:pt>
                <c:pt idx="4">
                  <c:v>9</c:v>
                </c:pt>
                <c:pt idx="5">
                  <c:v>10</c:v>
                </c:pt>
                <c:pt idx="6">
                  <c:v>5</c:v>
                </c:pt>
                <c:pt idx="7">
                  <c:v>0</c:v>
                </c:pt>
              </c:numCache>
            </c:numRef>
          </c:val>
          <c:smooth val="0"/>
          <c:extLst>
            <c:ext xmlns:c16="http://schemas.microsoft.com/office/drawing/2014/chart" uri="{C3380CC4-5D6E-409C-BE32-E72D297353CC}">
              <c16:uniqueId val="{00000002-4A3D-4340-8FAE-5C8E0775D1FC}"/>
            </c:ext>
          </c:extLst>
        </c:ser>
        <c:ser>
          <c:idx val="3"/>
          <c:order val="3"/>
          <c:tx>
            <c:strRef>
              <c:f>'4 Chart'!$F$2</c:f>
              <c:strCache>
                <c:ptCount val="1"/>
                <c:pt idx="0">
                  <c:v>Under Review</c:v>
                </c:pt>
              </c:strCache>
            </c:strRef>
          </c:tx>
          <c:spPr>
            <a:ln w="28575" cap="rnd">
              <a:solidFill>
                <a:schemeClr val="accent4"/>
              </a:solidFill>
              <a:round/>
            </a:ln>
            <a:effectLst/>
          </c:spPr>
          <c:marker>
            <c:symbol val="none"/>
          </c:marker>
          <c:cat>
            <c:numRef>
              <c:f>'4 Chart'!$B$3:$B$10</c:f>
              <c:numCache>
                <c:formatCode>d\-mmm\-yy</c:formatCode>
                <c:ptCount val="8"/>
                <c:pt idx="0">
                  <c:v>41313</c:v>
                </c:pt>
                <c:pt idx="1">
                  <c:v>41320</c:v>
                </c:pt>
                <c:pt idx="2">
                  <c:v>41327</c:v>
                </c:pt>
                <c:pt idx="3">
                  <c:v>41334</c:v>
                </c:pt>
                <c:pt idx="4">
                  <c:v>41341</c:v>
                </c:pt>
                <c:pt idx="5">
                  <c:v>41348</c:v>
                </c:pt>
                <c:pt idx="6">
                  <c:v>41355</c:v>
                </c:pt>
                <c:pt idx="7">
                  <c:v>41362</c:v>
                </c:pt>
              </c:numCache>
            </c:numRef>
          </c:cat>
          <c:val>
            <c:numRef>
              <c:f>'4 Chart'!$F$3:$F$10</c:f>
              <c:numCache>
                <c:formatCode>General</c:formatCode>
                <c:ptCount val="8"/>
                <c:pt idx="0">
                  <c:v>0</c:v>
                </c:pt>
                <c:pt idx="1">
                  <c:v>1</c:v>
                </c:pt>
                <c:pt idx="2">
                  <c:v>2</c:v>
                </c:pt>
                <c:pt idx="3">
                  <c:v>4</c:v>
                </c:pt>
                <c:pt idx="4">
                  <c:v>5</c:v>
                </c:pt>
                <c:pt idx="5">
                  <c:v>4</c:v>
                </c:pt>
                <c:pt idx="6">
                  <c:v>5</c:v>
                </c:pt>
                <c:pt idx="7">
                  <c:v>0</c:v>
                </c:pt>
              </c:numCache>
            </c:numRef>
          </c:val>
          <c:smooth val="0"/>
          <c:extLst>
            <c:ext xmlns:c16="http://schemas.microsoft.com/office/drawing/2014/chart" uri="{C3380CC4-5D6E-409C-BE32-E72D297353CC}">
              <c16:uniqueId val="{00000003-4A3D-4340-8FAE-5C8E0775D1FC}"/>
            </c:ext>
          </c:extLst>
        </c:ser>
        <c:ser>
          <c:idx val="4"/>
          <c:order val="4"/>
          <c:tx>
            <c:strRef>
              <c:f>'4 Chart'!$G$2</c:f>
              <c:strCache>
                <c:ptCount val="1"/>
                <c:pt idx="0">
                  <c:v>[Actual] Signed off</c:v>
                </c:pt>
              </c:strCache>
            </c:strRef>
          </c:tx>
          <c:spPr>
            <a:ln w="28575" cap="rnd">
              <a:solidFill>
                <a:srgbClr val="00B050"/>
              </a:solidFill>
              <a:prstDash val="dash"/>
              <a:round/>
            </a:ln>
            <a:effectLst/>
          </c:spPr>
          <c:marker>
            <c:symbol val="none"/>
          </c:marker>
          <c:cat>
            <c:numRef>
              <c:f>'4 Chart'!$B$3:$B$10</c:f>
              <c:numCache>
                <c:formatCode>d\-mmm\-yy</c:formatCode>
                <c:ptCount val="8"/>
                <c:pt idx="0">
                  <c:v>41313</c:v>
                </c:pt>
                <c:pt idx="1">
                  <c:v>41320</c:v>
                </c:pt>
                <c:pt idx="2">
                  <c:v>41327</c:v>
                </c:pt>
                <c:pt idx="3">
                  <c:v>41334</c:v>
                </c:pt>
                <c:pt idx="4">
                  <c:v>41341</c:v>
                </c:pt>
                <c:pt idx="5">
                  <c:v>41348</c:v>
                </c:pt>
                <c:pt idx="6">
                  <c:v>41355</c:v>
                </c:pt>
                <c:pt idx="7">
                  <c:v>41362</c:v>
                </c:pt>
              </c:numCache>
            </c:numRef>
          </c:cat>
          <c:val>
            <c:numRef>
              <c:f>'4 Chart'!$G$3:$G$10</c:f>
              <c:numCache>
                <c:formatCode>General</c:formatCode>
                <c:ptCount val="8"/>
                <c:pt idx="0">
                  <c:v>0</c:v>
                </c:pt>
                <c:pt idx="1">
                  <c:v>0</c:v>
                </c:pt>
                <c:pt idx="2">
                  <c:v>0</c:v>
                </c:pt>
                <c:pt idx="3">
                  <c:v>0</c:v>
                </c:pt>
                <c:pt idx="4">
                  <c:v>2</c:v>
                </c:pt>
                <c:pt idx="5">
                  <c:v>6</c:v>
                </c:pt>
                <c:pt idx="6">
                  <c:v>20</c:v>
                </c:pt>
                <c:pt idx="7">
                  <c:v>40</c:v>
                </c:pt>
              </c:numCache>
            </c:numRef>
          </c:val>
          <c:smooth val="0"/>
          <c:extLst>
            <c:ext xmlns:c16="http://schemas.microsoft.com/office/drawing/2014/chart" uri="{C3380CC4-5D6E-409C-BE32-E72D297353CC}">
              <c16:uniqueId val="{00000004-4A3D-4340-8FAE-5C8E0775D1FC}"/>
            </c:ext>
          </c:extLst>
        </c:ser>
        <c:ser>
          <c:idx val="5"/>
          <c:order val="5"/>
          <c:tx>
            <c:strRef>
              <c:f>'4 Chart'!$H$2</c:f>
              <c:strCache>
                <c:ptCount val="1"/>
                <c:pt idx="0">
                  <c:v>[Plan] Signed off</c:v>
                </c:pt>
              </c:strCache>
            </c:strRef>
          </c:tx>
          <c:spPr>
            <a:ln w="28575" cap="rnd">
              <a:solidFill>
                <a:srgbClr val="00B050"/>
              </a:solidFill>
              <a:round/>
            </a:ln>
            <a:effectLst/>
          </c:spPr>
          <c:marker>
            <c:symbol val="none"/>
          </c:marker>
          <c:cat>
            <c:numRef>
              <c:f>'4 Chart'!$B$3:$B$10</c:f>
              <c:numCache>
                <c:formatCode>d\-mmm\-yy</c:formatCode>
                <c:ptCount val="8"/>
                <c:pt idx="0">
                  <c:v>41313</c:v>
                </c:pt>
                <c:pt idx="1">
                  <c:v>41320</c:v>
                </c:pt>
                <c:pt idx="2">
                  <c:v>41327</c:v>
                </c:pt>
                <c:pt idx="3">
                  <c:v>41334</c:v>
                </c:pt>
                <c:pt idx="4">
                  <c:v>41341</c:v>
                </c:pt>
                <c:pt idx="5">
                  <c:v>41348</c:v>
                </c:pt>
                <c:pt idx="6">
                  <c:v>41355</c:v>
                </c:pt>
                <c:pt idx="7">
                  <c:v>41362</c:v>
                </c:pt>
              </c:numCache>
            </c:numRef>
          </c:cat>
          <c:val>
            <c:numRef>
              <c:f>'4 Chart'!$H$3:$H$10</c:f>
              <c:numCache>
                <c:formatCode>General</c:formatCode>
                <c:ptCount val="8"/>
                <c:pt idx="0">
                  <c:v>0</c:v>
                </c:pt>
                <c:pt idx="1">
                  <c:v>0</c:v>
                </c:pt>
                <c:pt idx="2">
                  <c:v>0</c:v>
                </c:pt>
                <c:pt idx="3">
                  <c:v>7</c:v>
                </c:pt>
                <c:pt idx="4">
                  <c:v>14</c:v>
                </c:pt>
                <c:pt idx="5">
                  <c:v>21</c:v>
                </c:pt>
                <c:pt idx="6">
                  <c:v>28</c:v>
                </c:pt>
                <c:pt idx="7">
                  <c:v>40</c:v>
                </c:pt>
              </c:numCache>
            </c:numRef>
          </c:val>
          <c:smooth val="0"/>
          <c:extLst>
            <c:ext xmlns:c16="http://schemas.microsoft.com/office/drawing/2014/chart" uri="{C3380CC4-5D6E-409C-BE32-E72D297353CC}">
              <c16:uniqueId val="{00000005-4A3D-4340-8FAE-5C8E0775D1FC}"/>
            </c:ext>
          </c:extLst>
        </c:ser>
        <c:dLbls>
          <c:showLegendKey val="0"/>
          <c:showVal val="0"/>
          <c:showCatName val="0"/>
          <c:showSerName val="0"/>
          <c:showPercent val="0"/>
          <c:showBubbleSize val="0"/>
        </c:dLbls>
        <c:smooth val="0"/>
        <c:axId val="496931728"/>
        <c:axId val="780742672"/>
      </c:lineChart>
      <c:dateAx>
        <c:axId val="496931728"/>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742672"/>
        <c:crosses val="autoZero"/>
        <c:auto val="1"/>
        <c:lblOffset val="100"/>
        <c:baseTimeUnit val="days"/>
      </c:dateAx>
      <c:valAx>
        <c:axId val="780742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931728"/>
        <c:crosses val="autoZero"/>
        <c:crossBetween val="between"/>
      </c:valAx>
      <c:spPr>
        <a:noFill/>
        <a:ln>
          <a:noFill/>
        </a:ln>
        <a:effectLst/>
      </c:spPr>
    </c:plotArea>
    <c:legend>
      <c:legendPos val="r"/>
      <c:layout>
        <c:manualLayout>
          <c:xMode val="edge"/>
          <c:yMode val="edge"/>
          <c:x val="0.82368097431880072"/>
          <c:y val="0.15419063248134224"/>
          <c:w val="0.1740663891149776"/>
          <c:h val="0.715750876820065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53339</xdr:colOff>
      <xdr:row>18</xdr:row>
      <xdr:rowOff>45720</xdr:rowOff>
    </xdr:from>
    <xdr:to>
      <xdr:col>9</xdr:col>
      <xdr:colOff>378340</xdr:colOff>
      <xdr:row>45</xdr:row>
      <xdr:rowOff>60959</xdr:rowOff>
    </xdr:to>
    <xdr:pic>
      <xdr:nvPicPr>
        <xdr:cNvPr id="3" name="Picture 2">
          <a:extLst>
            <a:ext uri="{FF2B5EF4-FFF2-40B4-BE49-F238E27FC236}">
              <a16:creationId xmlns:a16="http://schemas.microsoft.com/office/drawing/2014/main" id="{D8357D0A-5F4E-7B04-5B60-6536686817BC}"/>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2255" t="8366" r="21667" b="16688"/>
        <a:stretch/>
      </xdr:blipFill>
      <xdr:spPr>
        <a:xfrm>
          <a:off x="53339" y="3337560"/>
          <a:ext cx="6588641" cy="495299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7620</xdr:colOff>
          <xdr:row>11</xdr:row>
          <xdr:rowOff>38100</xdr:rowOff>
        </xdr:from>
        <xdr:to>
          <xdr:col>6</xdr:col>
          <xdr:colOff>320040</xdr:colOff>
          <xdr:row>14</xdr:row>
          <xdr:rowOff>7620</xdr:rowOff>
        </xdr:to>
        <xdr:sp macro="" textlink="">
          <xdr:nvSpPr>
            <xdr:cNvPr id="15361" name="Object 1" hidden="1">
              <a:extLst>
                <a:ext uri="{63B3BB69-23CF-44E3-9099-C40C66FF867C}">
                  <a14:compatExt spid="_x0000_s15361"/>
                </a:ext>
                <a:ext uri="{FF2B5EF4-FFF2-40B4-BE49-F238E27FC236}">
                  <a16:creationId xmlns:a16="http://schemas.microsoft.com/office/drawing/2014/main" id="{DCCFDCF6-C10B-DC76-3B1B-597D5FD56D8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289560</xdr:colOff>
      <xdr:row>11</xdr:row>
      <xdr:rowOff>156210</xdr:rowOff>
    </xdr:from>
    <xdr:to>
      <xdr:col>7</xdr:col>
      <xdr:colOff>444500</xdr:colOff>
      <xdr:row>30</xdr:row>
      <xdr:rowOff>95250</xdr:rowOff>
    </xdr:to>
    <xdr:graphicFrame macro="">
      <xdr:nvGraphicFramePr>
        <xdr:cNvPr id="3" name="Chart 2">
          <a:extLst>
            <a:ext uri="{FF2B5EF4-FFF2-40B4-BE49-F238E27FC236}">
              <a16:creationId xmlns:a16="http://schemas.microsoft.com/office/drawing/2014/main" id="{497DAF3C-B629-D629-0ABE-EEABE35416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4</xdr:col>
      <xdr:colOff>510540</xdr:colOff>
      <xdr:row>3</xdr:row>
      <xdr:rowOff>92014</xdr:rowOff>
    </xdr:from>
    <xdr:ext cx="1464582" cy="1401155"/>
    <xdr:pic>
      <xdr:nvPicPr>
        <xdr:cNvPr id="2" name="Picture 1">
          <a:extLst>
            <a:ext uri="{FF2B5EF4-FFF2-40B4-BE49-F238E27FC236}">
              <a16:creationId xmlns:a16="http://schemas.microsoft.com/office/drawing/2014/main" id="{87F9F053-0431-4F6F-BA34-47ACCF154368}"/>
            </a:ext>
          </a:extLst>
        </xdr:cNvPr>
        <xdr:cNvPicPr>
          <a:picLocks noChangeAspect="1"/>
        </xdr:cNvPicPr>
      </xdr:nvPicPr>
      <xdr:blipFill>
        <a:blip xmlns:r="http://schemas.openxmlformats.org/officeDocument/2006/relationships" r:embed="rId1"/>
        <a:stretch>
          <a:fillRect/>
        </a:stretch>
      </xdr:blipFill>
      <xdr:spPr>
        <a:xfrm>
          <a:off x="3108960" y="754954"/>
          <a:ext cx="1464582" cy="1401155"/>
        </a:xfrm>
        <a:prstGeom prst="rect">
          <a:avLst/>
        </a:prstGeom>
      </xdr:spPr>
    </xdr:pic>
    <xdr:clientData/>
  </xdr:oneCellAnchor>
  <xdr:twoCellAnchor>
    <xdr:from>
      <xdr:col>4</xdr:col>
      <xdr:colOff>518160</xdr:colOff>
      <xdr:row>2</xdr:row>
      <xdr:rowOff>87630</xdr:rowOff>
    </xdr:from>
    <xdr:to>
      <xdr:col>6</xdr:col>
      <xdr:colOff>552450</xdr:colOff>
      <xdr:row>3</xdr:row>
      <xdr:rowOff>179070</xdr:rowOff>
    </xdr:to>
    <xdr:sp macro="" textlink="">
      <xdr:nvSpPr>
        <xdr:cNvPr id="3" name="TextBox 2">
          <a:extLst>
            <a:ext uri="{FF2B5EF4-FFF2-40B4-BE49-F238E27FC236}">
              <a16:creationId xmlns:a16="http://schemas.microsoft.com/office/drawing/2014/main" id="{60CDFDA9-078F-4A71-8B95-FBA414AFC079}"/>
            </a:ext>
          </a:extLst>
        </xdr:cNvPr>
        <xdr:cNvSpPr txBox="1"/>
      </xdr:nvSpPr>
      <xdr:spPr>
        <a:xfrm>
          <a:off x="3116580" y="567690"/>
          <a:ext cx="1253490" cy="2743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How it should look</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asuk\AppData\Local\Microsoft\Windows\INetCache\IE\3BZ6R44W\Neha%20Patil_Assignment%20A3%20(Answer%20Workbook)%5b1%5d.xlsm" TargetMode="External"/><Relationship Id="rId1" Type="http://schemas.openxmlformats.org/officeDocument/2006/relationships/externalLinkPath" Target="file:///C:\Users\Vasuk\AppData\Local\Microsoft\Windows\INetCache\IE\3BZ6R44W\Neha%20Patil_Assignment%20A3%20(Answer%20Workbook)%5b1%5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itle"/>
      <sheetName val="1 Formatting"/>
      <sheetName val="2 Data Import"/>
      <sheetName val="3 User Story Analysis"/>
      <sheetName val="4 Chart"/>
      <sheetName val="5 Formulas"/>
      <sheetName val="6 FMEA"/>
      <sheetName val="7 Validation"/>
      <sheetName val="8 Conditional Format"/>
      <sheetName val="9 Two-Level Sort"/>
      <sheetName val="10 Pivot Table"/>
      <sheetName val="11 VBA"/>
      <sheetName val="12 Excel Help"/>
      <sheetName val="13 Personal Reflection"/>
    </sheetNames>
    <sheetDataSet>
      <sheetData sheetId="0" refreshError="1"/>
      <sheetData sheetId="1" refreshError="1"/>
      <sheetData sheetId="2" refreshError="1"/>
      <sheetData sheetId="3" refreshError="1"/>
      <sheetData sheetId="4">
        <row r="2">
          <cell r="C2" t="str">
            <v>Not started</v>
          </cell>
          <cell r="D2" t="str">
            <v>In Draft</v>
          </cell>
          <cell r="E2" t="str">
            <v>Drafted</v>
          </cell>
          <cell r="F2" t="str">
            <v>Under Review</v>
          </cell>
          <cell r="G2" t="str">
            <v>[Actual] Signed off</v>
          </cell>
          <cell r="H2" t="str">
            <v>[Plan] Signed off</v>
          </cell>
        </row>
        <row r="3">
          <cell r="B3">
            <v>41313</v>
          </cell>
          <cell r="C3">
            <v>13</v>
          </cell>
          <cell r="D3">
            <v>18</v>
          </cell>
          <cell r="E3">
            <v>9</v>
          </cell>
          <cell r="F3">
            <v>0</v>
          </cell>
          <cell r="G3">
            <v>0</v>
          </cell>
          <cell r="H3">
            <v>0</v>
          </cell>
        </row>
        <row r="4">
          <cell r="B4">
            <v>41320</v>
          </cell>
          <cell r="C4">
            <v>6</v>
          </cell>
          <cell r="D4">
            <v>21</v>
          </cell>
          <cell r="E4">
            <v>12</v>
          </cell>
          <cell r="F4">
            <v>1</v>
          </cell>
          <cell r="G4">
            <v>0</v>
          </cell>
          <cell r="H4">
            <v>0</v>
          </cell>
        </row>
        <row r="5">
          <cell r="B5">
            <v>41327</v>
          </cell>
          <cell r="C5">
            <v>2</v>
          </cell>
          <cell r="D5">
            <v>24</v>
          </cell>
          <cell r="E5">
            <v>12</v>
          </cell>
          <cell r="F5">
            <v>2</v>
          </cell>
          <cell r="G5">
            <v>0</v>
          </cell>
          <cell r="H5">
            <v>0</v>
          </cell>
        </row>
        <row r="6">
          <cell r="B6">
            <v>41334</v>
          </cell>
          <cell r="C6">
            <v>1</v>
          </cell>
          <cell r="D6">
            <v>28</v>
          </cell>
          <cell r="E6">
            <v>7</v>
          </cell>
          <cell r="F6">
            <v>4</v>
          </cell>
          <cell r="G6">
            <v>0</v>
          </cell>
          <cell r="H6">
            <v>7</v>
          </cell>
        </row>
        <row r="7">
          <cell r="B7">
            <v>41341</v>
          </cell>
          <cell r="C7">
            <v>0</v>
          </cell>
          <cell r="D7">
            <v>24</v>
          </cell>
          <cell r="E7">
            <v>9</v>
          </cell>
          <cell r="F7">
            <v>5</v>
          </cell>
          <cell r="G7">
            <v>2</v>
          </cell>
          <cell r="H7">
            <v>14</v>
          </cell>
        </row>
        <row r="8">
          <cell r="B8">
            <v>41348</v>
          </cell>
          <cell r="C8">
            <v>0</v>
          </cell>
          <cell r="D8">
            <v>20</v>
          </cell>
          <cell r="E8">
            <v>10</v>
          </cell>
          <cell r="F8">
            <v>4</v>
          </cell>
          <cell r="G8">
            <v>6</v>
          </cell>
          <cell r="H8">
            <v>21</v>
          </cell>
        </row>
        <row r="9">
          <cell r="B9">
            <v>41355</v>
          </cell>
          <cell r="C9">
            <v>0</v>
          </cell>
          <cell r="D9">
            <v>10</v>
          </cell>
          <cell r="E9">
            <v>5</v>
          </cell>
          <cell r="F9">
            <v>5</v>
          </cell>
          <cell r="G9">
            <v>20</v>
          </cell>
          <cell r="H9">
            <v>28</v>
          </cell>
        </row>
        <row r="10">
          <cell r="B10">
            <v>41362</v>
          </cell>
          <cell r="C10">
            <v>0</v>
          </cell>
          <cell r="D10">
            <v>0</v>
          </cell>
          <cell r="E10">
            <v>0</v>
          </cell>
          <cell r="F10">
            <v>0</v>
          </cell>
          <cell r="G10">
            <v>40</v>
          </cell>
          <cell r="H10">
            <v>40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354.796698726852" createdVersion="8" refreshedVersion="8" minRefreshableVersion="3" recordCount="10" xr:uid="{47E2433E-B788-4A1B-8464-741EB190B1D6}">
  <cacheSource type="worksheet">
    <worksheetSource ref="A2:K12" sheet="3 User Story Analysis"/>
  </cacheSource>
  <cacheFields count="11">
    <cacheField name="ID" numFmtId="0">
      <sharedItems count="10">
        <s v="US01"/>
        <s v="US02"/>
        <s v="US03"/>
        <s v="US04"/>
        <s v="US05"/>
        <s v="US06"/>
        <s v="US07"/>
        <s v="US08"/>
        <s v="US09"/>
        <s v="US10"/>
      </sharedItems>
    </cacheField>
    <cacheField name="Category" numFmtId="0">
      <sharedItems/>
    </cacheField>
    <cacheField name="User Story Label" numFmtId="0">
      <sharedItems/>
    </cacheField>
    <cacheField name="Actor / Role" numFmtId="0">
      <sharedItems/>
    </cacheField>
    <cacheField name="User Story" numFmtId="0">
      <sharedItems/>
    </cacheField>
    <cacheField name="Business Value" numFmtId="0">
      <sharedItems/>
    </cacheField>
    <cacheField name="Effort" numFmtId="0">
      <sharedItems/>
    </cacheField>
    <cacheField name="Priority" numFmtId="0">
      <sharedItems count="3">
        <s v="High"/>
        <s v="low"/>
        <s v="Medium"/>
      </sharedItems>
    </cacheField>
    <cacheField name="Source" numFmtId="0">
      <sharedItems/>
    </cacheField>
    <cacheField name="Comments" numFmtId="0">
      <sharedItems containsNonDate="0" containsString="0" containsBlank="1"/>
    </cacheField>
    <cacheField name="Statu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s v="Authentication"/>
    <s v="Registration"/>
    <s v="Customer"/>
    <s v="As a traveller, I want to search for flights based on my preferred dates and destinations, so I can find options that fit my travel plans."/>
    <s v="High"/>
    <s v="Medium"/>
    <x v="0"/>
    <s v="Based on R01 list of business Requirements from  the BRD and suggested by me(Vasu Khanna)"/>
    <m/>
    <s v="to be started"/>
  </r>
  <r>
    <x v="1"/>
    <s v="Authentication"/>
    <s v="Login"/>
    <s v="Customer"/>
    <s v="As a frequent flyer, I want to view a list of available flights sorted by price, departure time, and airline, so I can compare and choose the most suitable option."/>
    <s v="High"/>
    <s v="Medium"/>
    <x v="0"/>
    <s v="Based on R01 list of business Requirements from  the BRD and suggested by me(Vasu Khanna)"/>
    <m/>
    <s v="to be started"/>
  </r>
  <r>
    <x v="2"/>
    <s v="Flight Booking"/>
    <s v="Search Flights"/>
    <s v="Customer"/>
    <s v="As a budget-conscious traveler, I want to receive notifications for price drops or special deals on flights to my preferred destinations, so I can take advantage of savings opportunities."/>
    <s v="Medium"/>
    <s v="High"/>
    <x v="0"/>
    <s v="Based on R02 list of business Requirements from  the BRD and suggested by me(Vasu Khanna)"/>
    <m/>
    <s v="to be started"/>
  </r>
  <r>
    <x v="3"/>
    <s v="Flight Booking"/>
    <s v="View Flight Details"/>
    <s v="Customer"/>
    <s v="As a traveler with specific preferences, I want to filter search results based on factors such as airline, layovers, and departure times, so I can find flights that align with my preferences."/>
    <s v="Medium"/>
    <s v="High"/>
    <x v="1"/>
    <s v="Based on R02 list of business Requirements from  the BRD and suggested by me(Vasu Khanna)"/>
    <m/>
    <s v="to be started"/>
  </r>
  <r>
    <x v="4"/>
    <s v="Flight Booking"/>
    <s v="Book Flight"/>
    <s v="Customer"/>
    <s v="As a traveler planning a multi-city trip, I want the option to book multiple flights with different airlines and layovers, so I can create an itinerary that meets my needs."/>
    <s v="High"/>
    <s v="High"/>
    <x v="0"/>
    <s v="Based on R02 list of business Requirements from  the BRD and suggested by me(Vasu Khanna)"/>
    <m/>
    <s v="to be started"/>
  </r>
  <r>
    <x v="5"/>
    <s v="Updates"/>
    <s v="Receive Updates"/>
    <s v="Customer"/>
    <s v="As a user, I want to receive real-time updates and notifications about my booked flights, including any changes to schedules or gate information."/>
    <s v="Medium"/>
    <s v="Medium"/>
    <x v="2"/>
    <s v="Based on R04 list of business Requirements from  the BRD and suggested by me(Vasu Khanna)"/>
    <m/>
    <s v="to be started"/>
  </r>
  <r>
    <x v="6"/>
    <s v="Payment gateway"/>
    <s v="Payment "/>
    <s v="Customer"/>
    <s v="As a traveler, I want access to a secure payment gateway to complete my flight bookings, with multiple payment options available for convenience."/>
    <s v="High"/>
    <s v="High"/>
    <x v="0"/>
    <s v="Suggested by my team mate- Neha Patil"/>
    <m/>
    <s v="to be started"/>
  </r>
  <r>
    <x v="7"/>
    <s v="Payment gateway"/>
    <s v="Security measures"/>
    <s v="Customer"/>
    <s v="As a user, I want the app to prioritize security measures to safeguard my personal and payment information throughout the booking process."/>
    <s v="High"/>
    <s v="High"/>
    <x v="0"/>
    <s v="Suggested by my team mate- Neha Patil"/>
    <m/>
    <s v="to be started"/>
  </r>
  <r>
    <x v="8"/>
    <s v="Compatibility"/>
    <s v="Compatibility"/>
    <s v="Customer"/>
    <s v="As a traveler, I want the app to be compatible with both web and mobile platforms, allowing me to access and manage my bookings from any device."/>
    <s v="low"/>
    <s v="Medium"/>
    <x v="2"/>
    <s v="Suggested by my team mate- Neha Patil"/>
    <m/>
    <s v="to be started"/>
  </r>
  <r>
    <x v="9"/>
    <s v="Customer Support"/>
    <s v="Customer Support"/>
    <s v="Customer"/>
    <s v="As a user, I want access to reliable online customer support within the app, where I can easily reach out for assistance with any issues or queries regarding my bookings."/>
    <s v="Medium"/>
    <s v="Low"/>
    <x v="1"/>
    <s v="Suggested by my team mate- Neha Patil"/>
    <m/>
    <s v="to be starte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78BF1DE-E1FF-4A28-BC4D-CA1E615F4458}"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5" firstHeaderRow="1" firstDataRow="1" firstDataCol="1"/>
  <pivotFields count="11">
    <pivotField dataField="1" showAll="0">
      <items count="11">
        <item x="0"/>
        <item x="1"/>
        <item x="2"/>
        <item x="3"/>
        <item x="4"/>
        <item x="5"/>
        <item x="6"/>
        <item x="7"/>
        <item x="8"/>
        <item x="9"/>
        <item t="default"/>
      </items>
    </pivotField>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s>
  <rowFields count="1">
    <field x="7"/>
  </rowFields>
  <rowItems count="4">
    <i>
      <x/>
    </i>
    <i>
      <x v="1"/>
    </i>
    <i>
      <x v="2"/>
    </i>
    <i t="grand">
      <x/>
    </i>
  </rowItems>
  <colItems count="1">
    <i/>
  </colItems>
  <dataFields count="1">
    <dataField name="Count of ID" fld="0"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30AFE10-0E89-4FE2-9787-4B4B203554FB}" autoFormatId="16" applyNumberFormats="0" applyBorderFormats="0" applyFontFormats="0" applyPatternFormats="0" applyAlignmentFormats="0" applyWidthHeightFormats="0">
  <queryTableRefresh nextId="5">
    <queryTableFields count="4">
      <queryTableField id="1" name="Identifier" tableColumnId="1"/>
      <queryTableField id="2" name="Description" tableColumnId="2"/>
      <queryTableField id="3" name="Priority" tableColumnId="3"/>
      <queryTableField id="4" name="Date"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8CFFE6-D52D-4FDB-A250-49CE57CD7B9C}" name="Doccument" displayName="Doccument" ref="A1:D8" tableType="queryTable" totalsRowShown="0">
  <autoFilter ref="A1:D8" xr:uid="{A28CFFE6-D52D-4FDB-A250-49CE57CD7B9C}"/>
  <tableColumns count="4">
    <tableColumn id="1" xr3:uid="{796379A0-3E5D-4A70-BF08-C4B7F80A8A7F}" uniqueName="1" name="Identifier" queryTableFieldId="1" dataDxfId="24"/>
    <tableColumn id="2" xr3:uid="{802C6718-57F1-4E69-9000-5A4F0CA39F6B}" uniqueName="2" name="Description" queryTableFieldId="2" dataDxfId="23"/>
    <tableColumn id="3" xr3:uid="{B79B2C6D-35A3-446D-9E20-2E1ACB948134}" uniqueName="3" name="Priority" queryTableFieldId="3" dataDxfId="22"/>
    <tableColumn id="4" xr3:uid="{308D1235-97F3-4C98-B298-B5CEBDE6043A}" uniqueName="4" name="Date" queryTableFieldId="4" dataDxfId="2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89D31C7-F4AB-4268-A155-92C3BD8A8B03}" name="Table1" displayName="Table1" ref="A2:I10" totalsRowShown="0" headerRowDxfId="20" dataDxfId="19" headerRowBorderDxfId="17" tableBorderDxfId="18" totalsRowBorderDxfId="16">
  <autoFilter ref="A2:I10" xr:uid="{889D31C7-F4AB-4268-A155-92C3BD8A8B03}"/>
  <tableColumns count="9">
    <tableColumn id="1" xr3:uid="{A97704CC-3BC1-4793-B371-77060735092E}" name="Week" dataDxfId="15"/>
    <tableColumn id="2" xr3:uid="{0B3E4C33-1BA1-4B48-A13A-D5B0C5A1266D}" name="Date" dataDxfId="14"/>
    <tableColumn id="3" xr3:uid="{7B89F462-8AE4-47AC-A8E1-416F74AA5194}" name="Not started" dataDxfId="13"/>
    <tableColumn id="4" xr3:uid="{E48EAB3B-93D9-4FEA-9A69-8032E58B5993}" name="In Draft" dataDxfId="12"/>
    <tableColumn id="5" xr3:uid="{AD0D1E30-5622-4ACE-9E59-E818B637298D}" name="Drafted" dataDxfId="11"/>
    <tableColumn id="6" xr3:uid="{D13C0620-FB17-4A0A-ABFC-A5E3F1FFC09D}" name="Under Review" dataDxfId="10"/>
    <tableColumn id="7" xr3:uid="{376DA2CE-D252-4B72-B314-202D95D470C0}" name="[Actual] Signed off" dataDxfId="9"/>
    <tableColumn id="8" xr3:uid="{5F502305-C275-4B9C-82D3-93EE9F57AAE4}" name="[Plan] Signed off" dataDxfId="8"/>
    <tableColumn id="9" xr3:uid="{6A76C28C-9CEC-4B2B-881C-1ABCC180C8F6}" name="Total" dataDxfId="7"/>
  </tableColumns>
  <tableStyleInfo name="TableStyleLight5"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55B8A-A723-464E-BDCA-A92596EA838A}">
  <sheetPr codeName="Sheet1"/>
  <dimension ref="B2"/>
  <sheetViews>
    <sheetView workbookViewId="0">
      <selection activeCell="J13" sqref="J13"/>
    </sheetView>
  </sheetViews>
  <sheetFormatPr defaultRowHeight="14.4" x14ac:dyDescent="0.3"/>
  <sheetData>
    <row r="2" spans="2:2" ht="23.4" x14ac:dyDescent="0.45">
      <c r="B2" s="12" t="s">
        <v>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H32"/>
  <sheetViews>
    <sheetView showGridLines="0" workbookViewId="0"/>
  </sheetViews>
  <sheetFormatPr defaultRowHeight="14.4" x14ac:dyDescent="0.3"/>
  <cols>
    <col min="3" max="3" width="13.77734375" customWidth="1"/>
    <col min="4" max="4" width="11.33203125" bestFit="1" customWidth="1"/>
    <col min="5" max="5" width="12.33203125" bestFit="1" customWidth="1"/>
    <col min="7" max="7" width="14.77734375" bestFit="1" customWidth="1"/>
    <col min="8" max="8" width="18.21875" customWidth="1"/>
  </cols>
  <sheetData>
    <row r="1" spans="1:8" ht="15.6" x14ac:dyDescent="0.3">
      <c r="A1" s="1"/>
    </row>
    <row r="3" spans="1:8" ht="15" thickBot="1" x14ac:dyDescent="0.35"/>
    <row r="4" spans="1:8" ht="20.399999999999999" x14ac:dyDescent="0.3">
      <c r="C4" s="74" t="s">
        <v>39</v>
      </c>
      <c r="D4" s="75"/>
      <c r="E4" s="75"/>
      <c r="F4" s="75"/>
      <c r="G4" s="75"/>
      <c r="H4" s="76"/>
    </row>
    <row r="5" spans="1:8" ht="15" thickBot="1" x14ac:dyDescent="0.35">
      <c r="C5" s="77" t="s">
        <v>40</v>
      </c>
      <c r="D5" s="78"/>
      <c r="E5" s="78"/>
      <c r="F5" s="78"/>
      <c r="G5" s="78"/>
      <c r="H5" s="79"/>
    </row>
    <row r="6" spans="1:8" ht="45" thickBot="1" x14ac:dyDescent="0.35">
      <c r="C6" s="80" t="s">
        <v>41</v>
      </c>
      <c r="D6" s="81"/>
      <c r="E6" s="81"/>
      <c r="F6" s="81"/>
      <c r="G6" s="81"/>
      <c r="H6" s="82"/>
    </row>
    <row r="7" spans="1:8" ht="16.2" thickBot="1" x14ac:dyDescent="0.35">
      <c r="C7" s="21" t="s">
        <v>42</v>
      </c>
      <c r="D7" s="22"/>
      <c r="E7" s="22"/>
      <c r="G7" s="23"/>
      <c r="H7" s="24"/>
    </row>
    <row r="8" spans="1:8" ht="16.2" thickBot="1" x14ac:dyDescent="0.35">
      <c r="C8" s="25" t="s">
        <v>39</v>
      </c>
      <c r="D8" s="26"/>
      <c r="E8" s="26"/>
      <c r="F8" s="23"/>
      <c r="G8" s="23"/>
      <c r="H8" s="24"/>
    </row>
    <row r="9" spans="1:8" ht="16.2" thickBot="1" x14ac:dyDescent="0.35">
      <c r="C9" s="83" t="s">
        <v>43</v>
      </c>
      <c r="D9" s="27"/>
      <c r="E9" s="27"/>
      <c r="F9" s="23"/>
      <c r="G9" s="23"/>
      <c r="H9" s="24"/>
    </row>
    <row r="10" spans="1:8" ht="16.2" thickBot="1" x14ac:dyDescent="0.35">
      <c r="C10" s="25" t="s">
        <v>44</v>
      </c>
      <c r="D10" s="26"/>
      <c r="E10" s="26"/>
      <c r="F10" s="23"/>
      <c r="G10" s="23"/>
      <c r="H10" s="24"/>
    </row>
    <row r="11" spans="1:8" ht="16.2" thickBot="1" x14ac:dyDescent="0.35">
      <c r="C11" s="25" t="s">
        <v>45</v>
      </c>
      <c r="D11" s="26"/>
      <c r="E11" s="26"/>
      <c r="F11" s="23"/>
      <c r="G11" s="23"/>
      <c r="H11" s="24"/>
    </row>
    <row r="12" spans="1:8" ht="16.2" thickBot="1" x14ac:dyDescent="0.35">
      <c r="C12" s="25" t="s">
        <v>46</v>
      </c>
      <c r="D12" s="26"/>
      <c r="E12" s="26"/>
      <c r="F12" s="23"/>
      <c r="G12" s="23"/>
      <c r="H12" s="24"/>
    </row>
    <row r="13" spans="1:8" ht="33" thickBot="1" x14ac:dyDescent="0.35">
      <c r="C13" s="28" t="s">
        <v>47</v>
      </c>
      <c r="D13" s="29">
        <v>41403</v>
      </c>
      <c r="E13" s="30" t="s">
        <v>48</v>
      </c>
      <c r="F13" s="31" t="s">
        <v>49</v>
      </c>
      <c r="G13" s="30" t="s">
        <v>50</v>
      </c>
      <c r="H13" s="32"/>
    </row>
    <row r="14" spans="1:8" ht="18.600000000000001" x14ac:dyDescent="0.3">
      <c r="C14" s="33"/>
      <c r="H14" s="34"/>
    </row>
    <row r="15" spans="1:8" ht="15" x14ac:dyDescent="0.3">
      <c r="C15" s="35" t="s">
        <v>51</v>
      </c>
      <c r="D15" s="36"/>
      <c r="E15" s="37" t="s">
        <v>52</v>
      </c>
      <c r="F15" s="37"/>
      <c r="G15" s="38"/>
      <c r="H15" s="39"/>
    </row>
    <row r="16" spans="1:8" ht="15" x14ac:dyDescent="0.3">
      <c r="C16" s="35"/>
      <c r="D16" s="36"/>
      <c r="E16" s="37" t="s">
        <v>52</v>
      </c>
      <c r="F16" s="37"/>
      <c r="G16" s="38"/>
      <c r="H16" s="39"/>
    </row>
    <row r="17" spans="2:8" ht="15" x14ac:dyDescent="0.3">
      <c r="C17" s="35"/>
      <c r="D17" s="36"/>
      <c r="E17" s="37" t="s">
        <v>53</v>
      </c>
      <c r="F17" s="37"/>
      <c r="G17" s="38"/>
      <c r="H17" s="39"/>
    </row>
    <row r="18" spans="2:8" ht="18.600000000000001" x14ac:dyDescent="0.3">
      <c r="B18" s="1"/>
      <c r="C18" s="35" t="s">
        <v>54</v>
      </c>
      <c r="D18" s="36"/>
      <c r="E18" s="38"/>
      <c r="F18" s="38"/>
      <c r="G18" s="38"/>
      <c r="H18" s="39"/>
    </row>
    <row r="19" spans="2:8" ht="19.2" thickBot="1" x14ac:dyDescent="0.35">
      <c r="C19" s="35" t="s">
        <v>55</v>
      </c>
      <c r="D19" s="36"/>
      <c r="E19" s="40" t="s">
        <v>56</v>
      </c>
      <c r="F19" s="40"/>
      <c r="G19" s="40"/>
      <c r="H19" s="41"/>
    </row>
    <row r="20" spans="2:8" ht="17.399999999999999" x14ac:dyDescent="0.3">
      <c r="C20" s="42"/>
      <c r="H20" s="34"/>
    </row>
    <row r="21" spans="2:8" ht="19.2" thickBot="1" x14ac:dyDescent="0.35">
      <c r="C21" s="35" t="s">
        <v>57</v>
      </c>
      <c r="D21" s="36"/>
      <c r="E21" s="43">
        <v>41395</v>
      </c>
      <c r="F21" s="44" t="s">
        <v>58</v>
      </c>
      <c r="G21" s="43">
        <v>41424</v>
      </c>
      <c r="H21" s="34"/>
    </row>
    <row r="22" spans="2:8" ht="17.399999999999999" x14ac:dyDescent="0.3">
      <c r="C22" s="42"/>
      <c r="H22" s="34"/>
    </row>
    <row r="23" spans="2:8" ht="19.2" thickBot="1" x14ac:dyDescent="0.35">
      <c r="C23" s="35" t="s">
        <v>59</v>
      </c>
      <c r="D23" s="36"/>
      <c r="E23" s="45"/>
      <c r="F23" s="46"/>
      <c r="G23" s="47">
        <v>120</v>
      </c>
      <c r="H23" s="48"/>
    </row>
    <row r="24" spans="2:8" ht="19.2" thickBot="1" x14ac:dyDescent="0.35">
      <c r="C24" s="35" t="s">
        <v>60</v>
      </c>
      <c r="D24" s="36"/>
      <c r="E24" s="49"/>
      <c r="F24" s="50"/>
      <c r="G24" s="47">
        <v>20</v>
      </c>
      <c r="H24" s="48"/>
    </row>
    <row r="25" spans="2:8" ht="19.2" thickBot="1" x14ac:dyDescent="0.35">
      <c r="C25" s="35" t="s">
        <v>61</v>
      </c>
      <c r="D25" s="36"/>
      <c r="E25" s="51"/>
      <c r="F25" s="52"/>
      <c r="G25" s="53">
        <f>G23*G24</f>
        <v>2400</v>
      </c>
      <c r="H25" s="48"/>
    </row>
    <row r="26" spans="2:8" ht="19.2" thickBot="1" x14ac:dyDescent="0.35">
      <c r="C26" s="54" t="s">
        <v>62</v>
      </c>
      <c r="D26" s="55"/>
      <c r="E26" s="56"/>
      <c r="F26" s="57"/>
      <c r="G26" s="53">
        <f>G25*(13/100)</f>
        <v>312</v>
      </c>
      <c r="H26" s="58">
        <v>0.13</v>
      </c>
    </row>
    <row r="27" spans="2:8" ht="18.600000000000001" x14ac:dyDescent="0.3">
      <c r="C27" s="35" t="s">
        <v>63</v>
      </c>
      <c r="D27" s="36"/>
      <c r="E27" s="59"/>
      <c r="F27" s="60"/>
      <c r="G27" s="61">
        <f>G25+G26</f>
        <v>2712</v>
      </c>
      <c r="H27" s="62"/>
    </row>
    <row r="28" spans="2:8" ht="15" thickBot="1" x14ac:dyDescent="0.35">
      <c r="C28" s="63" t="s">
        <v>64</v>
      </c>
      <c r="D28" s="64"/>
      <c r="E28" s="65"/>
      <c r="F28" s="66"/>
      <c r="G28" s="67"/>
      <c r="H28" s="62"/>
    </row>
    <row r="29" spans="2:8" x14ac:dyDescent="0.3">
      <c r="C29" s="68"/>
      <c r="H29" s="34"/>
    </row>
    <row r="30" spans="2:8" ht="17.399999999999999" x14ac:dyDescent="0.3">
      <c r="C30" s="69" t="s">
        <v>65</v>
      </c>
      <c r="H30" s="34"/>
    </row>
    <row r="31" spans="2:8" x14ac:dyDescent="0.3">
      <c r="C31" s="70"/>
      <c r="H31" s="34"/>
    </row>
    <row r="32" spans="2:8" ht="16.2" thickBot="1" x14ac:dyDescent="0.35">
      <c r="C32" s="71" t="s">
        <v>66</v>
      </c>
      <c r="D32" s="72"/>
      <c r="E32" s="72"/>
      <c r="F32" s="72"/>
      <c r="G32" s="72"/>
      <c r="H32" s="73"/>
    </row>
  </sheetData>
  <mergeCells count="24">
    <mergeCell ref="E27:E28"/>
    <mergeCell ref="F27:F28"/>
    <mergeCell ref="G27:G28"/>
    <mergeCell ref="H27:H28"/>
    <mergeCell ref="C28:D28"/>
    <mergeCell ref="C32:H32"/>
    <mergeCell ref="C21:D21"/>
    <mergeCell ref="C23:D23"/>
    <mergeCell ref="C24:D24"/>
    <mergeCell ref="C25:D25"/>
    <mergeCell ref="C26:D26"/>
    <mergeCell ref="C27:D27"/>
    <mergeCell ref="C11:E11"/>
    <mergeCell ref="C12:E12"/>
    <mergeCell ref="C15:D17"/>
    <mergeCell ref="C18:D18"/>
    <mergeCell ref="C19:D19"/>
    <mergeCell ref="E19:H19"/>
    <mergeCell ref="C4:H4"/>
    <mergeCell ref="C5:H5"/>
    <mergeCell ref="C6:H6"/>
    <mergeCell ref="C7:E7"/>
    <mergeCell ref="C8:E8"/>
    <mergeCell ref="C10:E10"/>
  </mergeCells>
  <phoneticPr fontId="10"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58AE8-62D6-4734-9A1A-8D9448AB6C40}">
  <sheetPr codeName="Sheet3"/>
  <dimension ref="A1:F18"/>
  <sheetViews>
    <sheetView workbookViewId="0">
      <selection activeCell="J18" sqref="J18"/>
    </sheetView>
  </sheetViews>
  <sheetFormatPr defaultRowHeight="14.4" x14ac:dyDescent="0.3"/>
  <cols>
    <col min="1" max="1" width="10.88671875" bestFit="1" customWidth="1"/>
    <col min="2" max="2" width="16.33203125" bestFit="1" customWidth="1"/>
    <col min="3" max="3" width="9.33203125" bestFit="1" customWidth="1"/>
    <col min="4" max="4" width="10.33203125" bestFit="1" customWidth="1"/>
  </cols>
  <sheetData>
    <row r="1" spans="1:6" x14ac:dyDescent="0.3">
      <c r="A1" t="s">
        <v>67</v>
      </c>
      <c r="B1" t="s">
        <v>68</v>
      </c>
      <c r="C1" t="s">
        <v>15</v>
      </c>
      <c r="D1" t="s">
        <v>69</v>
      </c>
    </row>
    <row r="2" spans="1:6" x14ac:dyDescent="0.3">
      <c r="A2" s="84" t="s">
        <v>70</v>
      </c>
      <c r="B2" s="84" t="s">
        <v>71</v>
      </c>
      <c r="C2" s="84" t="s">
        <v>72</v>
      </c>
      <c r="D2" s="85">
        <v>40940</v>
      </c>
    </row>
    <row r="3" spans="1:6" x14ac:dyDescent="0.3">
      <c r="A3" s="84" t="s">
        <v>73</v>
      </c>
      <c r="B3" s="84" t="s">
        <v>74</v>
      </c>
      <c r="C3" s="84" t="s">
        <v>75</v>
      </c>
      <c r="D3" s="85">
        <v>41306</v>
      </c>
    </row>
    <row r="4" spans="1:6" x14ac:dyDescent="0.3">
      <c r="A4" s="84" t="s">
        <v>76</v>
      </c>
      <c r="B4" s="84" t="s">
        <v>77</v>
      </c>
      <c r="C4" s="84" t="s">
        <v>72</v>
      </c>
      <c r="D4" s="85">
        <v>41671</v>
      </c>
    </row>
    <row r="5" spans="1:6" x14ac:dyDescent="0.3">
      <c r="A5" s="84" t="s">
        <v>78</v>
      </c>
      <c r="B5" s="84" t="s">
        <v>79</v>
      </c>
      <c r="C5" s="84" t="s">
        <v>72</v>
      </c>
      <c r="D5" s="85">
        <v>42036</v>
      </c>
    </row>
    <row r="6" spans="1:6" x14ac:dyDescent="0.3">
      <c r="A6" s="84" t="s">
        <v>80</v>
      </c>
      <c r="B6" s="84" t="s">
        <v>81</v>
      </c>
      <c r="C6" s="84" t="s">
        <v>72</v>
      </c>
      <c r="D6" s="85">
        <v>42401</v>
      </c>
    </row>
    <row r="7" spans="1:6" x14ac:dyDescent="0.3">
      <c r="A7" s="84" t="s">
        <v>82</v>
      </c>
      <c r="B7" s="84" t="s">
        <v>83</v>
      </c>
      <c r="C7" s="84" t="s">
        <v>84</v>
      </c>
      <c r="D7" s="85">
        <v>42767</v>
      </c>
    </row>
    <row r="8" spans="1:6" x14ac:dyDescent="0.3">
      <c r="A8" s="84" t="s">
        <v>85</v>
      </c>
      <c r="B8" s="84" t="s">
        <v>86</v>
      </c>
      <c r="C8" s="84" t="s">
        <v>84</v>
      </c>
      <c r="D8" s="85">
        <v>43132</v>
      </c>
    </row>
    <row r="11" spans="1:6" x14ac:dyDescent="0.3">
      <c r="A11" s="86" t="s">
        <v>88</v>
      </c>
      <c r="F11" s="86" t="s">
        <v>87</v>
      </c>
    </row>
    <row r="12" spans="1:6" x14ac:dyDescent="0.3">
      <c r="A12" s="86" t="s">
        <v>89</v>
      </c>
    </row>
    <row r="13" spans="1:6" x14ac:dyDescent="0.3">
      <c r="A13" t="s">
        <v>246</v>
      </c>
    </row>
    <row r="14" spans="1:6" x14ac:dyDescent="0.3">
      <c r="A14" t="s">
        <v>248</v>
      </c>
    </row>
    <row r="15" spans="1:6" x14ac:dyDescent="0.3">
      <c r="A15" t="s">
        <v>249</v>
      </c>
    </row>
    <row r="16" spans="1:6" x14ac:dyDescent="0.3">
      <c r="A16" t="s">
        <v>247</v>
      </c>
    </row>
    <row r="18" spans="1:1" x14ac:dyDescent="0.3">
      <c r="A18" s="86" t="s">
        <v>250</v>
      </c>
    </row>
  </sheetData>
  <pageMargins left="0.7" right="0.7" top="0.75" bottom="0.75" header="0.3" footer="0.3"/>
  <pageSetup paperSize="9" orientation="portrait" r:id="rId1"/>
  <drawing r:id="rId2"/>
  <legacyDrawing r:id="rId3"/>
  <oleObjects>
    <mc:AlternateContent xmlns:mc="http://schemas.openxmlformats.org/markup-compatibility/2006">
      <mc:Choice Requires="x14">
        <oleObject progId="Packager Shell Object" dvAspect="DVASPECT_ICON" shapeId="15361" r:id="rId4">
          <objectPr defaultSize="0" r:id="rId5">
            <anchor moveWithCells="1">
              <from>
                <xdr:col>5</xdr:col>
                <xdr:colOff>7620</xdr:colOff>
                <xdr:row>11</xdr:row>
                <xdr:rowOff>38100</xdr:rowOff>
              </from>
              <to>
                <xdr:col>6</xdr:col>
                <xdr:colOff>320040</xdr:colOff>
                <xdr:row>14</xdr:row>
                <xdr:rowOff>7620</xdr:rowOff>
              </to>
            </anchor>
          </objectPr>
        </oleObject>
      </mc:Choice>
      <mc:Fallback>
        <oleObject progId="Packager Shell Object" dvAspect="DVASPECT_ICON" shapeId="15361" r:id="rId4"/>
      </mc:Fallback>
    </mc:AlternateContent>
  </oleObjects>
  <tableParts count="1">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33"/>
  <sheetViews>
    <sheetView zoomScale="67" workbookViewId="0">
      <pane xSplit="1" ySplit="2" topLeftCell="B7" activePane="bottomRight" state="frozen"/>
      <selection pane="topRight" activeCell="B1" sqref="B1"/>
      <selection pane="bottomLeft" activeCell="A2" sqref="A2"/>
      <selection pane="bottomRight" activeCell="Q6" sqref="Q6"/>
    </sheetView>
  </sheetViews>
  <sheetFormatPr defaultRowHeight="14.4" x14ac:dyDescent="0.3"/>
  <cols>
    <col min="1" max="1" width="10.109375" style="15" customWidth="1"/>
    <col min="2" max="2" width="16" customWidth="1"/>
    <col min="3" max="3" width="17.88671875" customWidth="1"/>
    <col min="4" max="4" width="12.33203125" customWidth="1"/>
    <col min="5" max="5" width="48" customWidth="1"/>
    <col min="6" max="6" width="15.21875" customWidth="1"/>
    <col min="7" max="7" width="8.5546875" customWidth="1"/>
    <col min="8" max="8" width="9.33203125" customWidth="1"/>
    <col min="9" max="9" width="30" customWidth="1"/>
    <col min="10" max="10" width="13.88671875" customWidth="1"/>
    <col min="11" max="11" width="8.88671875" customWidth="1"/>
  </cols>
  <sheetData>
    <row r="1" spans="1:11" s="3" customFormat="1" ht="28.5" customHeight="1" x14ac:dyDescent="0.3">
      <c r="A1" s="20"/>
    </row>
    <row r="2" spans="1:11" ht="40.799999999999997" customHeight="1" x14ac:dyDescent="0.3">
      <c r="A2" s="18" t="s">
        <v>10</v>
      </c>
      <c r="B2" s="19" t="s">
        <v>11</v>
      </c>
      <c r="C2" s="19" t="s">
        <v>19</v>
      </c>
      <c r="D2" s="19" t="s">
        <v>30</v>
      </c>
      <c r="E2" s="19" t="s">
        <v>12</v>
      </c>
      <c r="F2" s="19" t="s">
        <v>13</v>
      </c>
      <c r="G2" s="19" t="s">
        <v>14</v>
      </c>
      <c r="H2" s="19" t="s">
        <v>15</v>
      </c>
      <c r="I2" s="19" t="s">
        <v>16</v>
      </c>
      <c r="J2" s="19" t="s">
        <v>17</v>
      </c>
      <c r="K2" s="19" t="s">
        <v>18</v>
      </c>
    </row>
    <row r="3" spans="1:11" ht="61.8" customHeight="1" x14ac:dyDescent="0.3">
      <c r="A3" s="16" t="s">
        <v>20</v>
      </c>
      <c r="B3" s="17" t="s">
        <v>252</v>
      </c>
      <c r="C3" s="17" t="s">
        <v>253</v>
      </c>
      <c r="D3" s="17" t="s">
        <v>254</v>
      </c>
      <c r="E3" s="17" t="s">
        <v>276</v>
      </c>
      <c r="F3" s="17" t="s">
        <v>255</v>
      </c>
      <c r="G3" s="17" t="s">
        <v>256</v>
      </c>
      <c r="H3" s="17" t="s">
        <v>255</v>
      </c>
      <c r="I3" s="17" t="s">
        <v>282</v>
      </c>
      <c r="J3" s="17"/>
      <c r="K3" s="17" t="s">
        <v>257</v>
      </c>
    </row>
    <row r="4" spans="1:11" ht="58.2" customHeight="1" x14ac:dyDescent="0.3">
      <c r="A4" s="16" t="s">
        <v>21</v>
      </c>
      <c r="B4" s="17" t="s">
        <v>252</v>
      </c>
      <c r="C4" s="17" t="s">
        <v>258</v>
      </c>
      <c r="D4" s="17" t="s">
        <v>254</v>
      </c>
      <c r="E4" s="17" t="s">
        <v>277</v>
      </c>
      <c r="F4" s="17" t="s">
        <v>255</v>
      </c>
      <c r="G4" s="17" t="s">
        <v>256</v>
      </c>
      <c r="H4" s="17" t="s">
        <v>255</v>
      </c>
      <c r="I4" s="17" t="s">
        <v>282</v>
      </c>
      <c r="J4" s="17"/>
      <c r="K4" s="17" t="s">
        <v>257</v>
      </c>
    </row>
    <row r="5" spans="1:11" ht="66.599999999999994" customHeight="1" x14ac:dyDescent="0.3">
      <c r="A5" s="16" t="s">
        <v>22</v>
      </c>
      <c r="B5" s="17" t="s">
        <v>259</v>
      </c>
      <c r="C5" s="17" t="s">
        <v>260</v>
      </c>
      <c r="D5" s="17" t="s">
        <v>254</v>
      </c>
      <c r="E5" s="17" t="s">
        <v>278</v>
      </c>
      <c r="F5" s="17" t="s">
        <v>256</v>
      </c>
      <c r="G5" s="17" t="s">
        <v>255</v>
      </c>
      <c r="H5" s="17" t="s">
        <v>255</v>
      </c>
      <c r="I5" s="17" t="s">
        <v>283</v>
      </c>
      <c r="J5" s="17"/>
      <c r="K5" s="17" t="s">
        <v>257</v>
      </c>
    </row>
    <row r="6" spans="1:11" ht="76.8" customHeight="1" x14ac:dyDescent="0.3">
      <c r="A6" s="16" t="s">
        <v>23</v>
      </c>
      <c r="B6" s="17" t="s">
        <v>259</v>
      </c>
      <c r="C6" s="17" t="s">
        <v>261</v>
      </c>
      <c r="D6" s="17" t="s">
        <v>254</v>
      </c>
      <c r="E6" s="17" t="s">
        <v>279</v>
      </c>
      <c r="F6" s="17" t="s">
        <v>256</v>
      </c>
      <c r="G6" s="17" t="s">
        <v>255</v>
      </c>
      <c r="H6" s="17" t="s">
        <v>214</v>
      </c>
      <c r="I6" s="17" t="s">
        <v>283</v>
      </c>
      <c r="J6" s="17"/>
      <c r="K6" s="17" t="s">
        <v>257</v>
      </c>
    </row>
    <row r="7" spans="1:11" ht="79.2" customHeight="1" x14ac:dyDescent="0.3">
      <c r="A7" s="16" t="s">
        <v>24</v>
      </c>
      <c r="B7" s="17" t="s">
        <v>259</v>
      </c>
      <c r="C7" s="17" t="s">
        <v>262</v>
      </c>
      <c r="D7" s="17" t="s">
        <v>254</v>
      </c>
      <c r="E7" s="17" t="s">
        <v>280</v>
      </c>
      <c r="F7" s="17" t="s">
        <v>255</v>
      </c>
      <c r="G7" s="17" t="s">
        <v>255</v>
      </c>
      <c r="H7" s="17" t="s">
        <v>255</v>
      </c>
      <c r="I7" s="17" t="s">
        <v>283</v>
      </c>
      <c r="J7" s="17"/>
      <c r="K7" s="17" t="s">
        <v>257</v>
      </c>
    </row>
    <row r="8" spans="1:11" ht="67.8" customHeight="1" x14ac:dyDescent="0.3">
      <c r="A8" s="16" t="s">
        <v>25</v>
      </c>
      <c r="B8" s="17" t="s">
        <v>263</v>
      </c>
      <c r="C8" s="17" t="s">
        <v>264</v>
      </c>
      <c r="D8" s="17" t="s">
        <v>254</v>
      </c>
      <c r="E8" s="17" t="s">
        <v>265</v>
      </c>
      <c r="F8" s="17" t="s">
        <v>256</v>
      </c>
      <c r="G8" s="17" t="s">
        <v>256</v>
      </c>
      <c r="H8" s="17" t="s">
        <v>256</v>
      </c>
      <c r="I8" s="17" t="s">
        <v>284</v>
      </c>
      <c r="J8" s="17"/>
      <c r="K8" s="17" t="s">
        <v>257</v>
      </c>
    </row>
    <row r="9" spans="1:11" ht="64.2" customHeight="1" x14ac:dyDescent="0.3">
      <c r="A9" s="16" t="s">
        <v>26</v>
      </c>
      <c r="B9" s="17" t="s">
        <v>266</v>
      </c>
      <c r="C9" s="17" t="s">
        <v>267</v>
      </c>
      <c r="D9" s="17" t="s">
        <v>254</v>
      </c>
      <c r="E9" s="17" t="s">
        <v>268</v>
      </c>
      <c r="F9" s="17" t="s">
        <v>255</v>
      </c>
      <c r="G9" s="17" t="s">
        <v>255</v>
      </c>
      <c r="H9" s="17" t="s">
        <v>255</v>
      </c>
      <c r="I9" s="17" t="s">
        <v>281</v>
      </c>
      <c r="J9" s="17"/>
      <c r="K9" s="17" t="s">
        <v>257</v>
      </c>
    </row>
    <row r="10" spans="1:11" ht="75" customHeight="1" x14ac:dyDescent="0.3">
      <c r="A10" s="16" t="s">
        <v>27</v>
      </c>
      <c r="B10" s="17" t="s">
        <v>266</v>
      </c>
      <c r="C10" s="17" t="s">
        <v>269</v>
      </c>
      <c r="D10" s="17" t="s">
        <v>254</v>
      </c>
      <c r="E10" s="17" t="s">
        <v>270</v>
      </c>
      <c r="F10" s="17" t="s">
        <v>255</v>
      </c>
      <c r="G10" s="17" t="s">
        <v>255</v>
      </c>
      <c r="H10" s="17" t="s">
        <v>255</v>
      </c>
      <c r="I10" s="17" t="s">
        <v>281</v>
      </c>
      <c r="J10" s="17"/>
      <c r="K10" s="17" t="s">
        <v>257</v>
      </c>
    </row>
    <row r="11" spans="1:11" ht="75.599999999999994" customHeight="1" x14ac:dyDescent="0.3">
      <c r="A11" s="16" t="s">
        <v>28</v>
      </c>
      <c r="B11" s="17" t="s">
        <v>271</v>
      </c>
      <c r="C11" s="17" t="s">
        <v>271</v>
      </c>
      <c r="D11" s="17" t="s">
        <v>254</v>
      </c>
      <c r="E11" s="17" t="s">
        <v>272</v>
      </c>
      <c r="F11" s="17" t="s">
        <v>214</v>
      </c>
      <c r="G11" s="17" t="s">
        <v>256</v>
      </c>
      <c r="H11" s="17" t="s">
        <v>256</v>
      </c>
      <c r="I11" s="17" t="s">
        <v>281</v>
      </c>
      <c r="J11" s="17"/>
      <c r="K11" s="17" t="s">
        <v>257</v>
      </c>
    </row>
    <row r="12" spans="1:11" ht="69.599999999999994" customHeight="1" x14ac:dyDescent="0.3">
      <c r="A12" s="16" t="s">
        <v>29</v>
      </c>
      <c r="B12" s="17" t="s">
        <v>273</v>
      </c>
      <c r="C12" s="17" t="s">
        <v>273</v>
      </c>
      <c r="D12" s="17" t="s">
        <v>254</v>
      </c>
      <c r="E12" s="17" t="s">
        <v>274</v>
      </c>
      <c r="F12" s="17" t="s">
        <v>256</v>
      </c>
      <c r="G12" s="17" t="s">
        <v>275</v>
      </c>
      <c r="H12" s="17" t="s">
        <v>275</v>
      </c>
      <c r="I12" s="17" t="s">
        <v>281</v>
      </c>
      <c r="J12" s="17"/>
      <c r="K12" s="17" t="s">
        <v>257</v>
      </c>
    </row>
    <row r="13" spans="1:11" x14ac:dyDescent="0.3">
      <c r="A13" s="14"/>
      <c r="B13" s="13"/>
      <c r="C13" s="13"/>
      <c r="D13" s="13"/>
      <c r="E13" s="13"/>
      <c r="F13" s="13"/>
      <c r="G13" s="13"/>
      <c r="H13" s="13"/>
      <c r="I13" s="13"/>
      <c r="J13" s="13"/>
      <c r="K13" s="13"/>
    </row>
    <row r="14" spans="1:11" x14ac:dyDescent="0.3">
      <c r="A14" s="14"/>
      <c r="B14" s="13"/>
      <c r="C14" s="13"/>
      <c r="D14" s="13"/>
      <c r="E14" s="13"/>
      <c r="F14" s="13"/>
      <c r="G14" s="13"/>
      <c r="H14" s="13"/>
      <c r="I14" s="13"/>
      <c r="J14" s="13"/>
      <c r="K14" s="13"/>
    </row>
    <row r="15" spans="1:11" x14ac:dyDescent="0.3">
      <c r="A15" s="14"/>
      <c r="B15" s="13"/>
      <c r="C15" s="13"/>
      <c r="D15" s="13"/>
      <c r="E15" s="13"/>
      <c r="F15" s="13"/>
      <c r="G15" s="13"/>
      <c r="H15" s="13"/>
      <c r="I15" s="13"/>
      <c r="J15" s="13"/>
      <c r="K15" s="13"/>
    </row>
    <row r="16" spans="1:11" x14ac:dyDescent="0.3">
      <c r="A16" s="14"/>
      <c r="B16" s="13"/>
      <c r="C16" s="13"/>
      <c r="D16" s="13"/>
      <c r="E16" s="13"/>
      <c r="F16" s="13"/>
      <c r="G16" s="13"/>
      <c r="H16" s="13"/>
      <c r="I16" s="13"/>
      <c r="J16" s="13"/>
      <c r="K16" s="13"/>
    </row>
    <row r="17" spans="1:11" x14ac:dyDescent="0.3">
      <c r="A17" s="14"/>
      <c r="B17" s="13"/>
      <c r="C17" s="13"/>
      <c r="D17" s="13"/>
      <c r="E17" s="13"/>
      <c r="F17" s="13"/>
      <c r="G17" s="13"/>
      <c r="H17" s="13"/>
      <c r="I17" s="13"/>
      <c r="J17" s="13"/>
      <c r="K17" s="13"/>
    </row>
    <row r="18" spans="1:11" x14ac:dyDescent="0.3">
      <c r="A18" s="14"/>
      <c r="B18" s="13"/>
      <c r="C18" s="13"/>
      <c r="D18" s="13"/>
      <c r="E18" s="13"/>
      <c r="F18" s="13"/>
      <c r="G18" s="13"/>
      <c r="H18" s="13"/>
      <c r="I18" s="13"/>
      <c r="J18" s="13"/>
      <c r="K18" s="13"/>
    </row>
    <row r="19" spans="1:11" x14ac:dyDescent="0.3">
      <c r="A19" s="14"/>
      <c r="B19" s="13"/>
      <c r="C19" s="13"/>
      <c r="D19" s="13"/>
      <c r="E19" s="13"/>
      <c r="F19" s="13"/>
      <c r="G19" s="13"/>
      <c r="H19" s="13"/>
      <c r="I19" s="13"/>
      <c r="J19" s="13"/>
      <c r="K19" s="13"/>
    </row>
    <row r="20" spans="1:11" x14ac:dyDescent="0.3">
      <c r="A20" s="14"/>
      <c r="B20" s="13"/>
      <c r="C20" s="13"/>
      <c r="D20" s="13"/>
      <c r="E20" s="13"/>
      <c r="F20" s="13"/>
      <c r="G20" s="13"/>
      <c r="H20" s="13"/>
      <c r="I20" s="13"/>
      <c r="J20" s="13"/>
      <c r="K20" s="13"/>
    </row>
    <row r="21" spans="1:11" x14ac:dyDescent="0.3">
      <c r="A21" s="14"/>
      <c r="B21" s="13"/>
      <c r="C21" s="13"/>
      <c r="D21" s="13"/>
      <c r="E21" s="13"/>
      <c r="F21" s="13"/>
      <c r="G21" s="13"/>
      <c r="H21" s="13"/>
      <c r="I21" s="13"/>
      <c r="J21" s="13"/>
      <c r="K21" s="13"/>
    </row>
    <row r="22" spans="1:11" x14ac:dyDescent="0.3">
      <c r="A22" s="14"/>
      <c r="B22" s="13"/>
      <c r="C22" s="13"/>
      <c r="D22" s="13"/>
      <c r="E22" s="13"/>
      <c r="F22" s="13"/>
      <c r="G22" s="13"/>
      <c r="H22" s="13"/>
      <c r="I22" s="13"/>
      <c r="J22" s="13"/>
      <c r="K22" s="13"/>
    </row>
    <row r="23" spans="1:11" x14ac:dyDescent="0.3">
      <c r="A23" s="14"/>
      <c r="B23" s="13"/>
      <c r="C23" s="13"/>
      <c r="D23" s="13"/>
      <c r="E23" s="13"/>
      <c r="F23" s="13"/>
      <c r="G23" s="13"/>
      <c r="H23" s="13"/>
      <c r="I23" s="13"/>
      <c r="J23" s="13"/>
      <c r="K23" s="13"/>
    </row>
    <row r="24" spans="1:11" x14ac:dyDescent="0.3">
      <c r="A24" s="14"/>
      <c r="B24" s="13"/>
      <c r="C24" s="13"/>
      <c r="D24" s="13"/>
      <c r="E24" s="13"/>
      <c r="F24" s="13"/>
      <c r="G24" s="13"/>
      <c r="H24" s="13"/>
      <c r="I24" s="13"/>
      <c r="J24" s="13"/>
      <c r="K24" s="13"/>
    </row>
    <row r="25" spans="1:11" x14ac:dyDescent="0.3">
      <c r="A25" s="14"/>
      <c r="B25" s="13"/>
      <c r="C25" s="13"/>
      <c r="D25" s="13"/>
      <c r="E25" s="13"/>
      <c r="F25" s="13"/>
      <c r="G25" s="13"/>
      <c r="H25" s="13"/>
      <c r="I25" s="13"/>
      <c r="J25" s="13"/>
      <c r="K25" s="13"/>
    </row>
    <row r="26" spans="1:11" x14ac:dyDescent="0.3">
      <c r="A26" s="14"/>
      <c r="B26" s="13"/>
      <c r="C26" s="13"/>
      <c r="D26" s="13"/>
      <c r="E26" s="13"/>
      <c r="F26" s="13"/>
      <c r="G26" s="13"/>
      <c r="H26" s="13"/>
      <c r="I26" s="13"/>
      <c r="J26" s="13"/>
      <c r="K26" s="13"/>
    </row>
    <row r="27" spans="1:11" x14ac:dyDescent="0.3">
      <c r="A27" s="14"/>
      <c r="B27" s="13"/>
      <c r="C27" s="13"/>
      <c r="D27" s="13"/>
      <c r="E27" s="13"/>
      <c r="F27" s="13"/>
      <c r="G27" s="13"/>
      <c r="H27" s="13"/>
      <c r="I27" s="13"/>
      <c r="J27" s="13"/>
      <c r="K27" s="13"/>
    </row>
    <row r="28" spans="1:11" x14ac:dyDescent="0.3">
      <c r="A28" s="14"/>
      <c r="B28" s="13"/>
      <c r="C28" s="13"/>
      <c r="D28" s="13"/>
      <c r="E28" s="13"/>
      <c r="F28" s="13"/>
      <c r="G28" s="13"/>
      <c r="H28" s="13"/>
      <c r="I28" s="13"/>
      <c r="J28" s="13"/>
      <c r="K28" s="13"/>
    </row>
    <row r="29" spans="1:11" x14ac:dyDescent="0.3">
      <c r="A29" s="14"/>
      <c r="B29" s="13"/>
      <c r="C29" s="13"/>
      <c r="D29" s="13"/>
      <c r="E29" s="13"/>
      <c r="F29" s="13"/>
      <c r="G29" s="13"/>
      <c r="H29" s="13"/>
      <c r="I29" s="13"/>
      <c r="J29" s="13"/>
      <c r="K29" s="13"/>
    </row>
    <row r="30" spans="1:11" x14ac:dyDescent="0.3">
      <c r="A30" s="14"/>
      <c r="B30" s="13"/>
      <c r="C30" s="13"/>
      <c r="D30" s="13"/>
      <c r="E30" s="13"/>
      <c r="F30" s="13"/>
      <c r="G30" s="13"/>
      <c r="H30" s="13"/>
      <c r="I30" s="13"/>
      <c r="J30" s="13"/>
      <c r="K30" s="13"/>
    </row>
    <row r="31" spans="1:11" x14ac:dyDescent="0.3">
      <c r="A31" s="14"/>
      <c r="B31" s="13"/>
      <c r="C31" s="13"/>
      <c r="D31" s="13"/>
      <c r="E31" s="13"/>
      <c r="F31" s="13"/>
      <c r="G31" s="13"/>
      <c r="H31" s="13"/>
      <c r="I31" s="13"/>
      <c r="J31" s="13"/>
      <c r="K31" s="13"/>
    </row>
    <row r="32" spans="1:11" x14ac:dyDescent="0.3">
      <c r="A32" s="14"/>
      <c r="B32" s="13"/>
      <c r="C32" s="13"/>
      <c r="D32" s="13"/>
      <c r="E32" s="13"/>
      <c r="F32" s="13"/>
      <c r="G32" s="13"/>
      <c r="H32" s="13"/>
      <c r="I32" s="13"/>
      <c r="J32" s="13"/>
      <c r="K32" s="13"/>
    </row>
    <row r="33" spans="1:11" x14ac:dyDescent="0.3">
      <c r="A33" s="14"/>
      <c r="B33" s="13"/>
      <c r="C33" s="13"/>
      <c r="D33" s="13"/>
      <c r="E33" s="13"/>
      <c r="F33" s="13"/>
      <c r="G33" s="13"/>
      <c r="H33" s="13"/>
      <c r="I33" s="13"/>
      <c r="J33" s="13"/>
      <c r="K33" s="13"/>
    </row>
  </sheetData>
  <phoneticPr fontId="1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I33"/>
  <sheetViews>
    <sheetView showGridLines="0" zoomScale="72" workbookViewId="0">
      <selection activeCell="K21" sqref="K21"/>
    </sheetView>
  </sheetViews>
  <sheetFormatPr defaultRowHeight="14.4" x14ac:dyDescent="0.3"/>
  <cols>
    <col min="2" max="2" width="71" customWidth="1"/>
    <col min="3" max="3" width="11.33203125" bestFit="1" customWidth="1"/>
  </cols>
  <sheetData>
    <row r="1" spans="1:9" ht="21" x14ac:dyDescent="0.3">
      <c r="A1" s="87"/>
      <c r="B1" s="88" t="s">
        <v>90</v>
      </c>
      <c r="C1" s="87"/>
      <c r="D1" s="87"/>
      <c r="E1" s="87"/>
      <c r="F1" s="87"/>
      <c r="G1" s="87"/>
      <c r="H1" s="87"/>
      <c r="I1" s="87"/>
    </row>
    <row r="2" spans="1:9" ht="43.2" x14ac:dyDescent="0.3">
      <c r="A2" s="89" t="s">
        <v>91</v>
      </c>
      <c r="B2" s="90" t="s">
        <v>69</v>
      </c>
      <c r="C2" s="91" t="s">
        <v>92</v>
      </c>
      <c r="D2" s="91" t="s">
        <v>93</v>
      </c>
      <c r="E2" s="91" t="s">
        <v>94</v>
      </c>
      <c r="F2" s="91" t="s">
        <v>95</v>
      </c>
      <c r="G2" s="91" t="s">
        <v>96</v>
      </c>
      <c r="H2" s="91" t="s">
        <v>97</v>
      </c>
      <c r="I2" s="92" t="s">
        <v>98</v>
      </c>
    </row>
    <row r="3" spans="1:9" x14ac:dyDescent="0.3">
      <c r="A3" s="93">
        <v>1</v>
      </c>
      <c r="B3" s="94">
        <v>41313</v>
      </c>
      <c r="C3" s="95">
        <v>13</v>
      </c>
      <c r="D3" s="95">
        <v>18</v>
      </c>
      <c r="E3" s="95">
        <v>9</v>
      </c>
      <c r="F3" s="95">
        <v>0</v>
      </c>
      <c r="G3" s="95">
        <v>0</v>
      </c>
      <c r="H3" s="95">
        <v>0</v>
      </c>
      <c r="I3" s="96">
        <v>40</v>
      </c>
    </row>
    <row r="4" spans="1:9" x14ac:dyDescent="0.3">
      <c r="A4" s="93">
        <v>2</v>
      </c>
      <c r="B4" s="94">
        <v>41320</v>
      </c>
      <c r="C4" s="95">
        <v>6</v>
      </c>
      <c r="D4" s="95">
        <v>21</v>
      </c>
      <c r="E4" s="95">
        <v>12</v>
      </c>
      <c r="F4" s="95">
        <v>1</v>
      </c>
      <c r="G4" s="95">
        <v>0</v>
      </c>
      <c r="H4" s="95">
        <v>0</v>
      </c>
      <c r="I4" s="96">
        <v>40</v>
      </c>
    </row>
    <row r="5" spans="1:9" x14ac:dyDescent="0.3">
      <c r="A5" s="93">
        <v>3</v>
      </c>
      <c r="B5" s="94">
        <v>41327</v>
      </c>
      <c r="C5" s="95">
        <v>2</v>
      </c>
      <c r="D5" s="95">
        <v>24</v>
      </c>
      <c r="E5" s="95">
        <v>12</v>
      </c>
      <c r="F5" s="95">
        <v>2</v>
      </c>
      <c r="G5" s="95">
        <v>0</v>
      </c>
      <c r="H5" s="95">
        <v>0</v>
      </c>
      <c r="I5" s="96">
        <v>40</v>
      </c>
    </row>
    <row r="6" spans="1:9" x14ac:dyDescent="0.3">
      <c r="A6" s="93">
        <v>4</v>
      </c>
      <c r="B6" s="94">
        <v>41334</v>
      </c>
      <c r="C6" s="95">
        <v>1</v>
      </c>
      <c r="D6" s="95">
        <v>28</v>
      </c>
      <c r="E6" s="95">
        <v>7</v>
      </c>
      <c r="F6" s="95">
        <v>4</v>
      </c>
      <c r="G6" s="95">
        <v>0</v>
      </c>
      <c r="H6" s="95">
        <v>7</v>
      </c>
      <c r="I6" s="96">
        <v>40</v>
      </c>
    </row>
    <row r="7" spans="1:9" x14ac:dyDescent="0.3">
      <c r="A7" s="93">
        <v>5</v>
      </c>
      <c r="B7" s="94">
        <v>41341</v>
      </c>
      <c r="C7" s="95">
        <v>0</v>
      </c>
      <c r="D7" s="95">
        <v>24</v>
      </c>
      <c r="E7" s="95">
        <v>9</v>
      </c>
      <c r="F7" s="95">
        <v>5</v>
      </c>
      <c r="G7" s="95">
        <v>2</v>
      </c>
      <c r="H7" s="95">
        <v>14</v>
      </c>
      <c r="I7" s="96">
        <v>40</v>
      </c>
    </row>
    <row r="8" spans="1:9" x14ac:dyDescent="0.3">
      <c r="A8" s="93">
        <v>6</v>
      </c>
      <c r="B8" s="94">
        <v>41348</v>
      </c>
      <c r="C8" s="95">
        <v>0</v>
      </c>
      <c r="D8" s="95">
        <v>20</v>
      </c>
      <c r="E8" s="95">
        <v>10</v>
      </c>
      <c r="F8" s="95">
        <v>4</v>
      </c>
      <c r="G8" s="95">
        <v>6</v>
      </c>
      <c r="H8" s="95">
        <v>21</v>
      </c>
      <c r="I8" s="96">
        <v>40</v>
      </c>
    </row>
    <row r="9" spans="1:9" x14ac:dyDescent="0.3">
      <c r="A9" s="93">
        <v>7</v>
      </c>
      <c r="B9" s="94">
        <v>41355</v>
      </c>
      <c r="C9" s="95">
        <v>0</v>
      </c>
      <c r="D9" s="95">
        <v>10</v>
      </c>
      <c r="E9" s="95">
        <v>5</v>
      </c>
      <c r="F9" s="95">
        <v>5</v>
      </c>
      <c r="G9" s="95">
        <v>20</v>
      </c>
      <c r="H9" s="95">
        <v>28</v>
      </c>
      <c r="I9" s="96">
        <v>40</v>
      </c>
    </row>
    <row r="10" spans="1:9" x14ac:dyDescent="0.3">
      <c r="A10" s="97">
        <v>8</v>
      </c>
      <c r="B10" s="98">
        <v>41362</v>
      </c>
      <c r="C10" s="99">
        <v>0</v>
      </c>
      <c r="D10" s="99">
        <v>0</v>
      </c>
      <c r="E10" s="99">
        <v>0</v>
      </c>
      <c r="F10" s="99">
        <v>0</v>
      </c>
      <c r="G10" s="99">
        <v>40</v>
      </c>
      <c r="H10" s="99">
        <v>40</v>
      </c>
      <c r="I10" s="100">
        <v>40</v>
      </c>
    </row>
    <row r="33" spans="2:2" ht="288" x14ac:dyDescent="0.3">
      <c r="B33" s="127" t="s">
        <v>251</v>
      </c>
    </row>
  </sheetData>
  <phoneticPr fontId="10" type="noConversion"/>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53"/>
  <sheetViews>
    <sheetView workbookViewId="0">
      <selection activeCell="C2" sqref="C2"/>
    </sheetView>
  </sheetViews>
  <sheetFormatPr defaultRowHeight="14.4" x14ac:dyDescent="0.3"/>
  <cols>
    <col min="1" max="1" width="17.44140625" bestFit="1" customWidth="1"/>
    <col min="2" max="2" width="18.33203125" bestFit="1" customWidth="1"/>
    <col min="3" max="3" width="27.77734375" bestFit="1" customWidth="1"/>
    <col min="4" max="4" width="11.5546875" bestFit="1" customWidth="1"/>
    <col min="5" max="5" width="22.21875" bestFit="1" customWidth="1"/>
    <col min="6" max="6" width="14" customWidth="1"/>
  </cols>
  <sheetData>
    <row r="1" spans="1:6" ht="78" x14ac:dyDescent="0.3">
      <c r="A1" s="103" t="s">
        <v>99</v>
      </c>
      <c r="B1" s="103" t="s">
        <v>100</v>
      </c>
      <c r="C1" s="103" t="s">
        <v>101</v>
      </c>
      <c r="D1" s="103" t="s">
        <v>99</v>
      </c>
      <c r="E1" s="103" t="s">
        <v>102</v>
      </c>
      <c r="F1" s="104" t="s">
        <v>103</v>
      </c>
    </row>
    <row r="2" spans="1:6" x14ac:dyDescent="0.3">
      <c r="A2" s="105" t="s">
        <v>104</v>
      </c>
      <c r="B2" s="105" t="s">
        <v>105</v>
      </c>
      <c r="C2" s="105" t="str">
        <f>CONCATENATE(A2," ",B2)</f>
        <v>Ebdullxi El Gxmun</v>
      </c>
      <c r="D2" s="105" t="str">
        <f>_xlfn.TEXTBEFORE(C2," ")</f>
        <v>Ebdullxi</v>
      </c>
      <c r="E2" s="105" t="str">
        <f>_xlfn.TEXTAFTER(C2," ")</f>
        <v>El Gxmun</v>
      </c>
      <c r="F2" s="106">
        <f>LEN(C2)</f>
        <v>17</v>
      </c>
    </row>
    <row r="3" spans="1:6" x14ac:dyDescent="0.3">
      <c r="A3" s="105" t="s">
        <v>106</v>
      </c>
      <c r="B3" s="105" t="s">
        <v>107</v>
      </c>
      <c r="C3" s="105" t="str">
        <f t="shared" ref="C3:C53" si="0">CONCATENATE(A3," ",B3)</f>
        <v>Ebid Rxjxnrix Txmnxni</v>
      </c>
      <c r="D3" s="105" t="str">
        <f t="shared" ref="D3:D53" si="1">_xlfn.TEXTBEFORE(C3," ")</f>
        <v>Ebid</v>
      </c>
      <c r="E3" s="105" t="str">
        <f t="shared" ref="E3:E53" si="2">_xlfn.TEXTAFTER(C3," ")</f>
        <v>Rxjxnrix Txmnxni</v>
      </c>
      <c r="F3" s="106">
        <f t="shared" ref="F3:F53" si="3">LEN(C3)</f>
        <v>21</v>
      </c>
    </row>
    <row r="4" spans="1:6" x14ac:dyDescent="0.3">
      <c r="A4" s="105" t="s">
        <v>108</v>
      </c>
      <c r="B4" s="105" t="s">
        <v>109</v>
      </c>
      <c r="C4" s="105" t="str">
        <f t="shared" si="0"/>
        <v>Editi Eggxrwxl</v>
      </c>
      <c r="D4" s="105" t="str">
        <f t="shared" si="1"/>
        <v>Editi</v>
      </c>
      <c r="E4" s="105" t="str">
        <f t="shared" si="2"/>
        <v>Eggxrwxl</v>
      </c>
      <c r="F4" s="106">
        <f t="shared" si="3"/>
        <v>14</v>
      </c>
    </row>
    <row r="5" spans="1:6" x14ac:dyDescent="0.3">
      <c r="A5" s="105" t="s">
        <v>110</v>
      </c>
      <c r="B5" s="105" t="s">
        <v>111</v>
      </c>
      <c r="C5" s="105" t="str">
        <f t="shared" si="0"/>
        <v>Editox Bixrdwxj</v>
      </c>
      <c r="D5" s="105" t="str">
        <f t="shared" si="1"/>
        <v>Editox</v>
      </c>
      <c r="E5" s="105" t="str">
        <f t="shared" si="2"/>
        <v>Bixrdwxj</v>
      </c>
      <c r="F5" s="106">
        <f t="shared" si="3"/>
        <v>15</v>
      </c>
    </row>
    <row r="6" spans="1:6" x14ac:dyDescent="0.3">
      <c r="A6" s="105" t="s">
        <v>112</v>
      </c>
      <c r="B6" s="105" t="s">
        <v>113</v>
      </c>
      <c r="C6" s="105" t="str">
        <f t="shared" si="0"/>
        <v>Edrixnx Pxrrx</v>
      </c>
      <c r="D6" s="105" t="str">
        <f t="shared" si="1"/>
        <v>Edrixnx</v>
      </c>
      <c r="E6" s="105" t="str">
        <f t="shared" si="2"/>
        <v>Pxrrx</v>
      </c>
      <c r="F6" s="106">
        <f t="shared" si="3"/>
        <v>13</v>
      </c>
    </row>
    <row r="7" spans="1:6" x14ac:dyDescent="0.3">
      <c r="A7" s="105" t="s">
        <v>114</v>
      </c>
      <c r="B7" s="105" t="s">
        <v>115</v>
      </c>
      <c r="C7" s="105" t="str">
        <f t="shared" si="0"/>
        <v>Emit Tibxl</v>
      </c>
      <c r="D7" s="105" t="str">
        <f t="shared" si="1"/>
        <v>Emit</v>
      </c>
      <c r="E7" s="105" t="str">
        <f t="shared" si="2"/>
        <v>Tibxl</v>
      </c>
      <c r="F7" s="106">
        <f t="shared" si="3"/>
        <v>10</v>
      </c>
    </row>
    <row r="8" spans="1:6" x14ac:dyDescent="0.3">
      <c r="A8" s="105" t="s">
        <v>116</v>
      </c>
      <c r="B8" s="105" t="s">
        <v>117</v>
      </c>
      <c r="C8" s="105" t="str">
        <f t="shared" si="0"/>
        <v>Entiono Txntor</v>
      </c>
      <c r="D8" s="105" t="str">
        <f t="shared" si="1"/>
        <v>Entiono</v>
      </c>
      <c r="E8" s="105" t="str">
        <f t="shared" si="2"/>
        <v>Txntor</v>
      </c>
      <c r="F8" s="106">
        <f t="shared" si="3"/>
        <v>14</v>
      </c>
    </row>
    <row r="9" spans="1:6" x14ac:dyDescent="0.3">
      <c r="A9" s="105" t="s">
        <v>118</v>
      </c>
      <c r="B9" s="105" t="s">
        <v>119</v>
      </c>
      <c r="C9" s="105" t="str">
        <f t="shared" si="0"/>
        <v>Bibak Bxrnat</v>
      </c>
      <c r="D9" s="105" t="str">
        <f t="shared" si="1"/>
        <v>Bibak</v>
      </c>
      <c r="E9" s="105" t="str">
        <f t="shared" si="2"/>
        <v>Bxrnat</v>
      </c>
      <c r="F9" s="106">
        <f t="shared" si="3"/>
        <v>12</v>
      </c>
    </row>
    <row r="10" spans="1:6" x14ac:dyDescent="0.3">
      <c r="A10" s="105" t="s">
        <v>120</v>
      </c>
      <c r="B10" s="105" t="s">
        <v>121</v>
      </c>
      <c r="C10" s="105" t="str">
        <f t="shared" si="0"/>
        <v>Zaapxk Tixrmx</v>
      </c>
      <c r="D10" s="105" t="str">
        <f t="shared" si="1"/>
        <v>Zaapxk</v>
      </c>
      <c r="E10" s="105" t="str">
        <f t="shared" si="2"/>
        <v>Tixrmx</v>
      </c>
      <c r="F10" s="106">
        <f t="shared" si="3"/>
        <v>13</v>
      </c>
    </row>
    <row r="11" spans="1:6" x14ac:dyDescent="0.3">
      <c r="A11" s="105" t="s">
        <v>122</v>
      </c>
      <c r="B11" s="105" t="s">
        <v>123</v>
      </c>
      <c r="C11" s="105" t="str">
        <f t="shared" si="0"/>
        <v>Zinx Gxgdo Gaorgao Hourrak</v>
      </c>
      <c r="D11" s="105" t="str">
        <f t="shared" si="1"/>
        <v>Zinx</v>
      </c>
      <c r="E11" s="105" t="str">
        <f t="shared" si="2"/>
        <v>Gxgdo Gaorgao Hourrak</v>
      </c>
      <c r="F11" s="106">
        <f t="shared" si="3"/>
        <v>26</v>
      </c>
    </row>
    <row r="12" spans="1:6" x14ac:dyDescent="0.3">
      <c r="A12" s="105" t="s">
        <v>124</v>
      </c>
      <c r="B12" s="105" t="s">
        <v>125</v>
      </c>
      <c r="C12" s="105" t="str">
        <f t="shared" si="0"/>
        <v>Tdwxrd Ecavado</v>
      </c>
      <c r="D12" s="105" t="str">
        <f t="shared" si="1"/>
        <v>Tdwxrd</v>
      </c>
      <c r="E12" s="105" t="str">
        <f t="shared" si="2"/>
        <v>Ecavado</v>
      </c>
      <c r="F12" s="106">
        <f t="shared" si="3"/>
        <v>14</v>
      </c>
    </row>
    <row r="13" spans="1:6" x14ac:dyDescent="0.3">
      <c r="A13" s="105" t="s">
        <v>126</v>
      </c>
      <c r="B13" s="105" t="s">
        <v>127</v>
      </c>
      <c r="C13" s="105" t="str">
        <f t="shared" si="0"/>
        <v>Jxrixnx Nxz</v>
      </c>
      <c r="D13" s="105" t="str">
        <f t="shared" si="1"/>
        <v>Jxrixnx</v>
      </c>
      <c r="E13" s="105" t="str">
        <f t="shared" si="2"/>
        <v>Nxz</v>
      </c>
      <c r="F13" s="106">
        <f t="shared" si="3"/>
        <v>11</v>
      </c>
    </row>
    <row r="14" spans="1:6" x14ac:dyDescent="0.3">
      <c r="A14" s="105" t="s">
        <v>128</v>
      </c>
      <c r="B14" s="105" t="s">
        <v>129</v>
      </c>
      <c r="C14" s="105" t="str">
        <f t="shared" si="0"/>
        <v>Jajiro Ukpamo</v>
      </c>
      <c r="D14" s="105" t="str">
        <f t="shared" si="1"/>
        <v>Jajiro</v>
      </c>
      <c r="E14" s="105" t="str">
        <f t="shared" si="2"/>
        <v>Ukpamo</v>
      </c>
      <c r="F14" s="106">
        <f t="shared" si="3"/>
        <v>13</v>
      </c>
    </row>
    <row r="15" spans="1:6" x14ac:dyDescent="0.3">
      <c r="A15" s="105" t="s">
        <v>130</v>
      </c>
      <c r="B15" s="105" t="s">
        <v>131</v>
      </c>
      <c r="C15" s="105" t="str">
        <f t="shared" si="0"/>
        <v>Jalipa Elvar Olivairx</v>
      </c>
      <c r="D15" s="105" t="str">
        <f t="shared" si="1"/>
        <v>Jalipa</v>
      </c>
      <c r="E15" s="105" t="str">
        <f t="shared" si="2"/>
        <v>Elvar Olivairx</v>
      </c>
      <c r="F15" s="106">
        <f t="shared" si="3"/>
        <v>21</v>
      </c>
    </row>
    <row r="16" spans="1:6" x14ac:dyDescent="0.3">
      <c r="A16" s="105" t="s">
        <v>132</v>
      </c>
      <c r="B16" s="105" t="s">
        <v>133</v>
      </c>
      <c r="C16" s="105" t="str">
        <f t="shared" si="0"/>
        <v>Gxnari Viriwxnxti Bxngarx</v>
      </c>
      <c r="D16" s="105" t="str">
        <f t="shared" si="1"/>
        <v>Gxnari</v>
      </c>
      <c r="E16" s="105" t="str">
        <f t="shared" si="2"/>
        <v>Viriwxnxti Bxngarx</v>
      </c>
      <c r="F16" s="106">
        <f t="shared" si="3"/>
        <v>25</v>
      </c>
    </row>
    <row r="17" spans="1:6" x14ac:dyDescent="0.3">
      <c r="A17" s="105" t="s">
        <v>134</v>
      </c>
      <c r="B17" s="105" t="s">
        <v>135</v>
      </c>
      <c r="C17" s="105" t="str">
        <f t="shared" si="0"/>
        <v>Garron Balxndrix</v>
      </c>
      <c r="D17" s="105" t="str">
        <f t="shared" si="1"/>
        <v>Garron</v>
      </c>
      <c r="E17" s="105" t="str">
        <f t="shared" si="2"/>
        <v>Balxndrix</v>
      </c>
      <c r="F17" s="106">
        <f t="shared" si="3"/>
        <v>16</v>
      </c>
    </row>
    <row r="18" spans="1:6" x14ac:dyDescent="0.3">
      <c r="A18" s="105" t="s">
        <v>136</v>
      </c>
      <c r="B18" s="105" t="s">
        <v>137</v>
      </c>
      <c r="C18" s="105" t="str">
        <f t="shared" si="0"/>
        <v>Grxmox Trivxrtxvx</v>
      </c>
      <c r="D18" s="105" t="str">
        <f t="shared" si="1"/>
        <v>Grxmox</v>
      </c>
      <c r="E18" s="105" t="str">
        <f t="shared" si="2"/>
        <v>Trivxrtxvx</v>
      </c>
      <c r="F18" s="106">
        <f t="shared" si="3"/>
        <v>17</v>
      </c>
    </row>
    <row r="19" spans="1:6" x14ac:dyDescent="0.3">
      <c r="A19" s="105" t="s">
        <v>138</v>
      </c>
      <c r="B19" s="105" t="s">
        <v>139</v>
      </c>
      <c r="C19" s="105" t="str">
        <f t="shared" si="0"/>
        <v>Hxrnak Tingi Bixtix</v>
      </c>
      <c r="D19" s="105" t="str">
        <f t="shared" si="1"/>
        <v>Hxrnak</v>
      </c>
      <c r="E19" s="105" t="str">
        <f t="shared" si="2"/>
        <v>Tingi Bixtix</v>
      </c>
      <c r="F19" s="106">
        <f t="shared" si="3"/>
        <v>19</v>
      </c>
    </row>
    <row r="20" spans="1:6" x14ac:dyDescent="0.3">
      <c r="A20" s="105" t="s">
        <v>140</v>
      </c>
      <c r="B20" s="105" t="s">
        <v>141</v>
      </c>
      <c r="C20" s="105" t="str">
        <f t="shared" si="0"/>
        <v>Hxrrimrxn Kxur</v>
      </c>
      <c r="D20" s="105" t="str">
        <f t="shared" si="1"/>
        <v>Hxrrimrxn</v>
      </c>
      <c r="E20" s="105" t="str">
        <f t="shared" si="2"/>
        <v>Kxur</v>
      </c>
      <c r="F20" s="106">
        <f t="shared" si="3"/>
        <v>14</v>
      </c>
    </row>
    <row r="21" spans="1:6" x14ac:dyDescent="0.3">
      <c r="A21" s="105" t="s">
        <v>142</v>
      </c>
      <c r="B21" s="105" t="s">
        <v>143</v>
      </c>
      <c r="C21" s="105" t="str">
        <f t="shared" si="0"/>
        <v>Jxnat Join</v>
      </c>
      <c r="D21" s="105" t="str">
        <f t="shared" si="1"/>
        <v>Jxnat</v>
      </c>
      <c r="E21" s="105" t="str">
        <f t="shared" si="2"/>
        <v>Join</v>
      </c>
      <c r="F21" s="106">
        <f t="shared" si="3"/>
        <v>10</v>
      </c>
    </row>
    <row r="22" spans="1:6" x14ac:dyDescent="0.3">
      <c r="A22" s="105" t="s">
        <v>144</v>
      </c>
      <c r="B22" s="105" t="s">
        <v>145</v>
      </c>
      <c r="C22" s="105" t="str">
        <f t="shared" si="0"/>
        <v>Jxni Gxrroud Ebo Hxmdxn</v>
      </c>
      <c r="D22" s="105" t="str">
        <f t="shared" si="1"/>
        <v>Jxni</v>
      </c>
      <c r="E22" s="105" t="str">
        <f t="shared" si="2"/>
        <v>Gxrroud Ebo Hxmdxn</v>
      </c>
      <c r="F22" s="106">
        <f t="shared" si="3"/>
        <v>23</v>
      </c>
    </row>
    <row r="23" spans="1:6" x14ac:dyDescent="0.3">
      <c r="A23" s="105" t="s">
        <v>146</v>
      </c>
      <c r="B23" s="105" t="s">
        <v>147</v>
      </c>
      <c r="C23" s="105" t="str">
        <f t="shared" si="0"/>
        <v>Joixnnx Cxrolinx Orrago Txnciaz</v>
      </c>
      <c r="D23" s="105" t="str">
        <f t="shared" si="1"/>
        <v>Joixnnx</v>
      </c>
      <c r="E23" s="105" t="str">
        <f t="shared" si="2"/>
        <v>Cxrolinx Orrago Txnciaz</v>
      </c>
      <c r="F23" s="106">
        <f t="shared" si="3"/>
        <v>31</v>
      </c>
    </row>
    <row r="24" spans="1:6" x14ac:dyDescent="0.3">
      <c r="A24" s="105" t="s">
        <v>148</v>
      </c>
      <c r="B24" s="105" t="s">
        <v>149</v>
      </c>
      <c r="C24" s="105" t="str">
        <f t="shared" si="0"/>
        <v>Jooxl Gxtian</v>
      </c>
      <c r="D24" s="105" t="str">
        <f t="shared" si="1"/>
        <v>Jooxl</v>
      </c>
      <c r="E24" s="105" t="str">
        <f t="shared" si="2"/>
        <v>Gxtian</v>
      </c>
      <c r="F24" s="106">
        <f t="shared" si="3"/>
        <v>12</v>
      </c>
    </row>
    <row r="25" spans="1:6" x14ac:dyDescent="0.3">
      <c r="A25" s="105" t="s">
        <v>150</v>
      </c>
      <c r="B25" s="105" t="s">
        <v>151</v>
      </c>
      <c r="C25" s="105" t="str">
        <f t="shared" si="0"/>
        <v>Karro Tingi</v>
      </c>
      <c r="D25" s="105" t="str">
        <f t="shared" si="1"/>
        <v>Karro</v>
      </c>
      <c r="E25" s="105" t="str">
        <f t="shared" si="2"/>
        <v>Tingi</v>
      </c>
      <c r="F25" s="106">
        <f t="shared" si="3"/>
        <v>11</v>
      </c>
    </row>
    <row r="26" spans="1:6" x14ac:dyDescent="0.3">
      <c r="A26" s="105" t="s">
        <v>152</v>
      </c>
      <c r="B26" s="105" t="s">
        <v>153</v>
      </c>
      <c r="C26" s="105" t="str">
        <f t="shared" si="0"/>
        <v>Kiurinumx Inxmdxr</v>
      </c>
      <c r="D26" s="105" t="str">
        <f t="shared" si="1"/>
        <v>Kiurinumx</v>
      </c>
      <c r="E26" s="105" t="str">
        <f t="shared" si="2"/>
        <v>Inxmdxr</v>
      </c>
      <c r="F26" s="106">
        <f t="shared" si="3"/>
        <v>17</v>
      </c>
    </row>
    <row r="27" spans="1:6" x14ac:dyDescent="0.3">
      <c r="A27" s="105" t="s">
        <v>154</v>
      </c>
      <c r="B27" s="105" t="s">
        <v>155</v>
      </c>
      <c r="C27" s="105" t="str">
        <f t="shared" si="0"/>
        <v>Kririnxmurtio Cixndrxriakxr</v>
      </c>
      <c r="D27" s="105" t="str">
        <f t="shared" si="1"/>
        <v>Kririnxmurtio</v>
      </c>
      <c r="E27" s="105" t="str">
        <f t="shared" si="2"/>
        <v>Cixndrxriakxr</v>
      </c>
      <c r="F27" s="106">
        <f t="shared" si="3"/>
        <v>27</v>
      </c>
    </row>
    <row r="28" spans="1:6" x14ac:dyDescent="0.3">
      <c r="A28" s="105" t="s">
        <v>156</v>
      </c>
      <c r="B28" s="105" t="s">
        <v>157</v>
      </c>
      <c r="C28" s="105" t="str">
        <f t="shared" si="0"/>
        <v>Kritikx Nigxm</v>
      </c>
      <c r="D28" s="105" t="str">
        <f t="shared" si="1"/>
        <v>Kritikx</v>
      </c>
      <c r="E28" s="105" t="str">
        <f t="shared" si="2"/>
        <v>Nigxm</v>
      </c>
      <c r="F28" s="106">
        <f t="shared" si="3"/>
        <v>13</v>
      </c>
    </row>
    <row r="29" spans="1:6" x14ac:dyDescent="0.3">
      <c r="A29" s="105" t="s">
        <v>158</v>
      </c>
      <c r="B29" s="105" t="s">
        <v>159</v>
      </c>
      <c r="C29" s="105" t="str">
        <f t="shared" si="0"/>
        <v>Gxdiur Rxjbixndxri</v>
      </c>
      <c r="D29" s="105" t="str">
        <f t="shared" si="1"/>
        <v>Gxdiur</v>
      </c>
      <c r="E29" s="105" t="str">
        <f t="shared" si="2"/>
        <v>Rxjbixndxri</v>
      </c>
      <c r="F29" s="106">
        <f t="shared" si="3"/>
        <v>18</v>
      </c>
    </row>
    <row r="30" spans="1:6" x14ac:dyDescent="0.3">
      <c r="A30" s="105" t="s">
        <v>160</v>
      </c>
      <c r="B30" s="105" t="s">
        <v>161</v>
      </c>
      <c r="C30" s="105" t="str">
        <f t="shared" si="0"/>
        <v>Gxjid Govxiadixn Etxr</v>
      </c>
      <c r="D30" s="105" t="str">
        <f t="shared" si="1"/>
        <v>Gxjid</v>
      </c>
      <c r="E30" s="105" t="str">
        <f t="shared" si="2"/>
        <v>Govxiadixn Etxr</v>
      </c>
      <c r="F30" s="106">
        <f t="shared" si="3"/>
        <v>21</v>
      </c>
    </row>
    <row r="31" spans="1:6" x14ac:dyDescent="0.3">
      <c r="A31" s="105" t="s">
        <v>162</v>
      </c>
      <c r="B31" s="105" t="s">
        <v>163</v>
      </c>
      <c r="C31" s="105" t="str">
        <f t="shared" si="0"/>
        <v>Gxricalx Gomaz</v>
      </c>
      <c r="D31" s="105" t="str">
        <f t="shared" si="1"/>
        <v>Gxricalx</v>
      </c>
      <c r="E31" s="105" t="str">
        <f t="shared" si="2"/>
        <v>Gomaz</v>
      </c>
      <c r="F31" s="106">
        <f t="shared" si="3"/>
        <v>14</v>
      </c>
    </row>
    <row r="32" spans="1:6" x14ac:dyDescent="0.3">
      <c r="A32" s="105" t="s">
        <v>164</v>
      </c>
      <c r="B32" s="105" t="s">
        <v>165</v>
      </c>
      <c r="C32" s="105" t="str">
        <f t="shared" si="0"/>
        <v>Gxrziai Razxaa</v>
      </c>
      <c r="D32" s="105" t="str">
        <f t="shared" si="1"/>
        <v>Gxrziai</v>
      </c>
      <c r="E32" s="105" t="str">
        <f t="shared" si="2"/>
        <v>Razxaa</v>
      </c>
      <c r="F32" s="106">
        <f t="shared" si="3"/>
        <v>14</v>
      </c>
    </row>
    <row r="33" spans="1:6" x14ac:dyDescent="0.3">
      <c r="A33" s="105" t="s">
        <v>166</v>
      </c>
      <c r="B33" s="105" t="s">
        <v>167</v>
      </c>
      <c r="C33" s="105" t="str">
        <f t="shared" si="0"/>
        <v>Gd Txnvir Hxriam</v>
      </c>
      <c r="D33" s="105" t="str">
        <f t="shared" si="1"/>
        <v>Gd</v>
      </c>
      <c r="E33" s="105" t="str">
        <f t="shared" si="2"/>
        <v>Txnvir Hxriam</v>
      </c>
      <c r="F33" s="106">
        <f t="shared" si="3"/>
        <v>16</v>
      </c>
    </row>
    <row r="34" spans="1:6" x14ac:dyDescent="0.3">
      <c r="A34" s="105" t="s">
        <v>168</v>
      </c>
      <c r="B34" s="105" t="s">
        <v>169</v>
      </c>
      <c r="C34" s="105" t="str">
        <f t="shared" si="0"/>
        <v>Girial Cxdanx Cuavxr</v>
      </c>
      <c r="D34" s="105" t="str">
        <f t="shared" si="1"/>
        <v>Girial</v>
      </c>
      <c r="E34" s="105" t="str">
        <f t="shared" si="2"/>
        <v>Cxdanx Cuavxr</v>
      </c>
      <c r="F34" s="106">
        <f t="shared" si="3"/>
        <v>20</v>
      </c>
    </row>
    <row r="35" spans="1:6" x14ac:dyDescent="0.3">
      <c r="A35" s="105" t="s">
        <v>170</v>
      </c>
      <c r="B35" s="105" t="s">
        <v>171</v>
      </c>
      <c r="C35" s="105" t="str">
        <f t="shared" si="0"/>
        <v>Goixmmad Rxki Tixkaak Eimad</v>
      </c>
      <c r="D35" s="105" t="str">
        <f t="shared" si="1"/>
        <v>Goixmmad</v>
      </c>
      <c r="E35" s="105" t="str">
        <f t="shared" si="2"/>
        <v>Rxki Tixkaak Eimad</v>
      </c>
      <c r="F35" s="106">
        <f t="shared" si="3"/>
        <v>27</v>
      </c>
    </row>
    <row r="36" spans="1:6" x14ac:dyDescent="0.3">
      <c r="A36" s="105" t="s">
        <v>172</v>
      </c>
      <c r="B36" s="105" t="s">
        <v>173</v>
      </c>
      <c r="C36" s="105" t="str">
        <f t="shared" si="0"/>
        <v>Nxmrxtx Tixpx</v>
      </c>
      <c r="D36" s="105" t="str">
        <f t="shared" si="1"/>
        <v>Nxmrxtx</v>
      </c>
      <c r="E36" s="105" t="str">
        <f t="shared" si="2"/>
        <v>Tixpx</v>
      </c>
      <c r="F36" s="106">
        <f t="shared" si="3"/>
        <v>13</v>
      </c>
    </row>
    <row r="37" spans="1:6" x14ac:dyDescent="0.3">
      <c r="A37" s="105" t="s">
        <v>174</v>
      </c>
      <c r="B37" s="105" t="s">
        <v>141</v>
      </c>
      <c r="C37" s="105" t="str">
        <f t="shared" si="0"/>
        <v>Nxvxndaap Kxur</v>
      </c>
      <c r="D37" s="105" t="str">
        <f t="shared" si="1"/>
        <v>Nxvxndaap</v>
      </c>
      <c r="E37" s="105" t="str">
        <f t="shared" si="2"/>
        <v>Kxur</v>
      </c>
      <c r="F37" s="106">
        <f t="shared" si="3"/>
        <v>14</v>
      </c>
    </row>
    <row r="38" spans="1:6" x14ac:dyDescent="0.3">
      <c r="A38" s="105" t="s">
        <v>175</v>
      </c>
      <c r="B38" s="105" t="s">
        <v>176</v>
      </c>
      <c r="C38" s="105" t="str">
        <f t="shared" si="0"/>
        <v>Naalari Gxnogxrxn</v>
      </c>
      <c r="D38" s="105" t="str">
        <f t="shared" si="1"/>
        <v>Naalari</v>
      </c>
      <c r="E38" s="105" t="str">
        <f t="shared" si="2"/>
        <v>Gxnogxrxn</v>
      </c>
      <c r="F38" s="106">
        <f t="shared" si="3"/>
        <v>17</v>
      </c>
    </row>
    <row r="39" spans="1:6" x14ac:dyDescent="0.3">
      <c r="A39" s="105" t="s">
        <v>177</v>
      </c>
      <c r="B39" s="105" t="s">
        <v>178</v>
      </c>
      <c r="C39" s="105" t="str">
        <f t="shared" si="0"/>
        <v>Nikiil Nirxnjxn Kixtri</v>
      </c>
      <c r="D39" s="105" t="str">
        <f t="shared" si="1"/>
        <v>Nikiil</v>
      </c>
      <c r="E39" s="105" t="str">
        <f t="shared" si="2"/>
        <v>Nirxnjxn Kixtri</v>
      </c>
      <c r="F39" s="106">
        <f t="shared" si="3"/>
        <v>22</v>
      </c>
    </row>
    <row r="40" spans="1:6" x14ac:dyDescent="0.3">
      <c r="A40" s="105" t="s">
        <v>179</v>
      </c>
      <c r="B40" s="105" t="s">
        <v>180</v>
      </c>
      <c r="C40" s="105" t="str">
        <f t="shared" si="0"/>
        <v>Pang Qixo</v>
      </c>
      <c r="D40" s="105" t="str">
        <f t="shared" si="1"/>
        <v>Pang</v>
      </c>
      <c r="E40" s="105" t="str">
        <f t="shared" si="2"/>
        <v>Qixo</v>
      </c>
      <c r="F40" s="106">
        <f t="shared" si="3"/>
        <v>9</v>
      </c>
    </row>
    <row r="41" spans="1:6" x14ac:dyDescent="0.3">
      <c r="A41" s="105" t="s">
        <v>181</v>
      </c>
      <c r="B41" s="105" t="s">
        <v>182</v>
      </c>
      <c r="C41" s="105" t="str">
        <f t="shared" si="0"/>
        <v>Rxgixvi Kxrunxpxtio</v>
      </c>
      <c r="D41" s="105" t="str">
        <f t="shared" si="1"/>
        <v>Rxgixvi</v>
      </c>
      <c r="E41" s="105" t="str">
        <f t="shared" si="2"/>
        <v>Kxrunxpxtio</v>
      </c>
      <c r="F41" s="106">
        <f t="shared" si="3"/>
        <v>19</v>
      </c>
    </row>
    <row r="42" spans="1:6" x14ac:dyDescent="0.3">
      <c r="A42" s="105" t="s">
        <v>183</v>
      </c>
      <c r="B42" s="105" t="s">
        <v>184</v>
      </c>
      <c r="C42" s="105" t="str">
        <f t="shared" si="0"/>
        <v>Rxioxn Kixn</v>
      </c>
      <c r="D42" s="105" t="str">
        <f t="shared" si="1"/>
        <v>Rxioxn</v>
      </c>
      <c r="E42" s="105" t="str">
        <f t="shared" si="2"/>
        <v>Kixn</v>
      </c>
      <c r="F42" s="106">
        <f t="shared" si="3"/>
        <v>11</v>
      </c>
    </row>
    <row r="43" spans="1:6" x14ac:dyDescent="0.3">
      <c r="A43" s="105" t="s">
        <v>185</v>
      </c>
      <c r="B43" s="105" t="s">
        <v>186</v>
      </c>
      <c r="C43" s="105" t="str">
        <f t="shared" si="0"/>
        <v>Rxtaab Txxd</v>
      </c>
      <c r="D43" s="105" t="str">
        <f t="shared" si="1"/>
        <v>Rxtaab</v>
      </c>
      <c r="E43" s="105" t="str">
        <f t="shared" si="2"/>
        <v>Txxd</v>
      </c>
      <c r="F43" s="106">
        <f t="shared" si="3"/>
        <v>11</v>
      </c>
    </row>
    <row r="44" spans="1:6" x14ac:dyDescent="0.3">
      <c r="A44" s="105" t="s">
        <v>187</v>
      </c>
      <c r="B44" s="105" t="s">
        <v>188</v>
      </c>
      <c r="C44" s="105" t="str">
        <f t="shared" si="0"/>
        <v>Ranxtx Gxrix Za Gadairor Gxvx</v>
      </c>
      <c r="D44" s="105" t="str">
        <f t="shared" si="1"/>
        <v>Ranxtx</v>
      </c>
      <c r="E44" s="105" t="str">
        <f t="shared" si="2"/>
        <v>Gxrix Za Gadairor Gxvx</v>
      </c>
      <c r="F44" s="106">
        <f t="shared" si="3"/>
        <v>29</v>
      </c>
    </row>
    <row r="45" spans="1:6" x14ac:dyDescent="0.3">
      <c r="A45" s="105" t="s">
        <v>189</v>
      </c>
      <c r="B45" s="105" t="s">
        <v>190</v>
      </c>
      <c r="C45" s="105" t="str">
        <f t="shared" si="0"/>
        <v>Ricixrd Lavina</v>
      </c>
      <c r="D45" s="105" t="str">
        <f t="shared" si="1"/>
        <v>Ricixrd</v>
      </c>
      <c r="E45" s="105" t="str">
        <f t="shared" si="2"/>
        <v>Lavina</v>
      </c>
      <c r="F45" s="106">
        <f t="shared" si="3"/>
        <v>14</v>
      </c>
    </row>
    <row r="46" spans="1:6" x14ac:dyDescent="0.3">
      <c r="A46" s="105" t="s">
        <v>191</v>
      </c>
      <c r="B46" s="105" t="s">
        <v>192</v>
      </c>
      <c r="C46" s="105" t="str">
        <f t="shared" si="0"/>
        <v>Ririxbi Txgxr</v>
      </c>
      <c r="D46" s="105" t="str">
        <f t="shared" si="1"/>
        <v>Ririxbi</v>
      </c>
      <c r="E46" s="105" t="str">
        <f t="shared" si="2"/>
        <v>Txgxr</v>
      </c>
      <c r="F46" s="106">
        <f t="shared" si="3"/>
        <v>13</v>
      </c>
    </row>
    <row r="47" spans="1:6" x14ac:dyDescent="0.3">
      <c r="A47" s="105" t="s">
        <v>193</v>
      </c>
      <c r="B47" s="105" t="s">
        <v>194</v>
      </c>
      <c r="C47" s="105" t="str">
        <f t="shared" si="0"/>
        <v>Ruciitx Nilarikumxr Pxtal</v>
      </c>
      <c r="D47" s="105" t="str">
        <f t="shared" si="1"/>
        <v>Ruciitx</v>
      </c>
      <c r="E47" s="105" t="str">
        <f t="shared" si="2"/>
        <v>Nilarikumxr Pxtal</v>
      </c>
      <c r="F47" s="106">
        <f t="shared" si="3"/>
        <v>25</v>
      </c>
    </row>
    <row r="48" spans="1:6" x14ac:dyDescent="0.3">
      <c r="A48" s="105" t="s">
        <v>195</v>
      </c>
      <c r="B48" s="105" t="s">
        <v>196</v>
      </c>
      <c r="C48" s="105" t="str">
        <f t="shared" si="0"/>
        <v>T G Goin</v>
      </c>
      <c r="D48" s="105" t="str">
        <f t="shared" si="1"/>
        <v>T</v>
      </c>
      <c r="E48" s="105" t="str">
        <f t="shared" si="2"/>
        <v>G Goin</v>
      </c>
      <c r="F48" s="106">
        <f t="shared" si="3"/>
        <v>8</v>
      </c>
    </row>
    <row r="49" spans="1:6" x14ac:dyDescent="0.3">
      <c r="A49" s="105" t="s">
        <v>197</v>
      </c>
      <c r="B49" s="105" t="s">
        <v>198</v>
      </c>
      <c r="C49" s="105" t="str">
        <f t="shared" si="0"/>
        <v>Ttavia Cixrdalla Bxmokilx Trouidi</v>
      </c>
      <c r="D49" s="105" t="str">
        <f t="shared" si="1"/>
        <v>Ttavia</v>
      </c>
      <c r="E49" s="105" t="str">
        <f t="shared" si="2"/>
        <v>Cixrdalla Bxmokilx Trouidi</v>
      </c>
      <c r="F49" s="106">
        <f t="shared" si="3"/>
        <v>33</v>
      </c>
    </row>
    <row r="50" spans="1:6" x14ac:dyDescent="0.3">
      <c r="A50" s="105" t="s">
        <v>199</v>
      </c>
      <c r="B50" s="105" t="s">
        <v>200</v>
      </c>
      <c r="C50" s="105" t="str">
        <f t="shared" si="0"/>
        <v>Tumit Rxmpxl</v>
      </c>
      <c r="D50" s="105" t="str">
        <f t="shared" si="1"/>
        <v>Tumit</v>
      </c>
      <c r="E50" s="105" t="str">
        <f t="shared" si="2"/>
        <v>Rxmpxl</v>
      </c>
      <c r="F50" s="106">
        <f t="shared" si="3"/>
        <v>12</v>
      </c>
    </row>
    <row r="51" spans="1:6" x14ac:dyDescent="0.3">
      <c r="A51" s="105" t="s">
        <v>201</v>
      </c>
      <c r="B51" s="105" t="s">
        <v>202</v>
      </c>
      <c r="C51" s="105" t="str">
        <f t="shared" si="0"/>
        <v>Txnvi Tixrxd Vorx</v>
      </c>
      <c r="D51" s="105" t="str">
        <f t="shared" si="1"/>
        <v>Txnvi</v>
      </c>
      <c r="E51" s="105" t="str">
        <f t="shared" si="2"/>
        <v>Tixrxd Vorx</v>
      </c>
      <c r="F51" s="106">
        <f t="shared" si="3"/>
        <v>17</v>
      </c>
    </row>
    <row r="52" spans="1:6" x14ac:dyDescent="0.3">
      <c r="A52" s="105" t="s">
        <v>203</v>
      </c>
      <c r="B52" s="105" t="s">
        <v>204</v>
      </c>
      <c r="C52" s="105" t="str">
        <f t="shared" si="0"/>
        <v>Txrun Kririxn</v>
      </c>
      <c r="D52" s="105" t="str">
        <f t="shared" si="1"/>
        <v>Txrun</v>
      </c>
      <c r="E52" s="105" t="str">
        <f t="shared" si="2"/>
        <v>Kririxn</v>
      </c>
      <c r="F52" s="106">
        <f t="shared" si="3"/>
        <v>13</v>
      </c>
    </row>
    <row r="53" spans="1:6" x14ac:dyDescent="0.3">
      <c r="A53" s="105" t="s">
        <v>205</v>
      </c>
      <c r="B53" s="105" t="s">
        <v>151</v>
      </c>
      <c r="C53" s="105" t="str">
        <f t="shared" si="0"/>
        <v>Tagibir Tingi</v>
      </c>
      <c r="D53" s="105" t="str">
        <f t="shared" si="1"/>
        <v>Tagibir</v>
      </c>
      <c r="E53" s="105" t="str">
        <f t="shared" si="2"/>
        <v>Tingi</v>
      </c>
      <c r="F53" s="106">
        <f t="shared" si="3"/>
        <v>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8"/>
  <sheetViews>
    <sheetView workbookViewId="0">
      <selection activeCell="I2" sqref="I2"/>
    </sheetView>
  </sheetViews>
  <sheetFormatPr defaultRowHeight="14.4" x14ac:dyDescent="0.3"/>
  <cols>
    <col min="1" max="1" width="24.44140625" customWidth="1"/>
    <col min="2" max="2" width="11.21875" customWidth="1"/>
    <col min="4" max="4" width="15.88671875" customWidth="1"/>
    <col min="6" max="8" width="12.6640625" customWidth="1"/>
    <col min="9" max="9" width="16.6640625" customWidth="1"/>
    <col min="10" max="10" width="15" customWidth="1"/>
    <col min="11" max="11" width="15.44140625" customWidth="1"/>
  </cols>
  <sheetData>
    <row r="1" spans="1:15" ht="28.8" x14ac:dyDescent="0.3">
      <c r="A1" s="128" t="s">
        <v>285</v>
      </c>
      <c r="B1" s="129" t="s">
        <v>286</v>
      </c>
      <c r="C1" s="130" t="s">
        <v>331</v>
      </c>
      <c r="D1" s="131"/>
      <c r="E1" s="132"/>
      <c r="F1" s="133" t="s">
        <v>287</v>
      </c>
      <c r="G1" s="134" t="s">
        <v>330</v>
      </c>
      <c r="H1" s="134"/>
      <c r="I1" s="134"/>
      <c r="J1" s="135"/>
      <c r="K1" s="136" t="s">
        <v>288</v>
      </c>
      <c r="L1" s="132"/>
      <c r="M1" s="132"/>
      <c r="N1" s="132"/>
      <c r="O1" s="132"/>
    </row>
    <row r="2" spans="1:15" x14ac:dyDescent="0.3">
      <c r="A2" s="137"/>
      <c r="B2" s="101"/>
      <c r="C2" s="138"/>
      <c r="D2" s="139"/>
      <c r="E2" s="132"/>
      <c r="F2" s="140" t="s">
        <v>289</v>
      </c>
      <c r="G2" s="141" t="s">
        <v>290</v>
      </c>
      <c r="H2" s="134"/>
      <c r="I2" s="134" t="s">
        <v>332</v>
      </c>
      <c r="J2" s="135"/>
      <c r="K2" s="136"/>
      <c r="L2" s="132"/>
      <c r="M2" s="132"/>
      <c r="N2" s="132"/>
      <c r="O2" s="132"/>
    </row>
    <row r="3" spans="1:15" x14ac:dyDescent="0.3">
      <c r="A3" s="132"/>
      <c r="B3" s="132"/>
      <c r="C3" s="132"/>
      <c r="D3" s="132"/>
      <c r="E3" s="132"/>
      <c r="F3" s="132"/>
      <c r="G3" s="132"/>
      <c r="H3" s="132"/>
      <c r="I3" s="132"/>
      <c r="J3" s="132"/>
      <c r="K3" s="132"/>
      <c r="L3" s="132"/>
      <c r="M3" s="132"/>
      <c r="N3" s="132"/>
      <c r="O3" s="132"/>
    </row>
    <row r="4" spans="1:15" ht="45.6" x14ac:dyDescent="0.3">
      <c r="A4" s="142" t="s">
        <v>291</v>
      </c>
      <c r="B4" s="142" t="s">
        <v>292</v>
      </c>
      <c r="C4" s="143" t="s">
        <v>293</v>
      </c>
      <c r="D4" s="142" t="s">
        <v>294</v>
      </c>
      <c r="E4" s="143" t="s">
        <v>295</v>
      </c>
      <c r="F4" s="142" t="s">
        <v>296</v>
      </c>
      <c r="G4" s="144" t="s">
        <v>297</v>
      </c>
      <c r="H4" s="144" t="s">
        <v>298</v>
      </c>
      <c r="I4" s="142" t="s">
        <v>299</v>
      </c>
      <c r="J4" s="142" t="s">
        <v>300</v>
      </c>
      <c r="K4" s="145" t="s">
        <v>301</v>
      </c>
      <c r="L4" s="146" t="s">
        <v>293</v>
      </c>
      <c r="M4" s="143" t="s">
        <v>295</v>
      </c>
      <c r="N4" s="144" t="s">
        <v>297</v>
      </c>
      <c r="O4" s="144" t="s">
        <v>298</v>
      </c>
    </row>
    <row r="5" spans="1:15" ht="97.8" customHeight="1" x14ac:dyDescent="0.3">
      <c r="A5" s="147" t="s">
        <v>302</v>
      </c>
      <c r="B5" s="147" t="s">
        <v>303</v>
      </c>
      <c r="C5" s="148" t="s">
        <v>304</v>
      </c>
      <c r="D5" s="147" t="s">
        <v>305</v>
      </c>
      <c r="E5" s="148" t="s">
        <v>306</v>
      </c>
      <c r="F5" s="147" t="s">
        <v>307</v>
      </c>
      <c r="G5" s="148" t="s">
        <v>308</v>
      </c>
      <c r="H5" s="149" t="s">
        <v>309</v>
      </c>
      <c r="I5" s="147" t="s">
        <v>310</v>
      </c>
      <c r="J5" s="147" t="s">
        <v>311</v>
      </c>
      <c r="K5" s="150" t="s">
        <v>312</v>
      </c>
      <c r="L5" s="151"/>
      <c r="M5" s="152"/>
      <c r="N5" s="153"/>
      <c r="O5" s="153"/>
    </row>
    <row r="6" spans="1:15" ht="79.2" customHeight="1" x14ac:dyDescent="0.3">
      <c r="A6" s="154" t="s">
        <v>313</v>
      </c>
      <c r="B6" s="154" t="s">
        <v>314</v>
      </c>
      <c r="C6" s="155">
        <v>9</v>
      </c>
      <c r="D6" s="156" t="s">
        <v>315</v>
      </c>
      <c r="E6" s="155">
        <v>2</v>
      </c>
      <c r="F6" s="156" t="s">
        <v>316</v>
      </c>
      <c r="G6" s="157">
        <v>4</v>
      </c>
      <c r="H6" s="158">
        <f t="shared" ref="H6:H8" si="0">IF(C6+E6+G6=0," ",C6*E6*G6)</f>
        <v>72</v>
      </c>
      <c r="I6" s="159" t="s">
        <v>317</v>
      </c>
      <c r="J6" s="154" t="s">
        <v>318</v>
      </c>
      <c r="K6" s="160" t="s">
        <v>319</v>
      </c>
      <c r="L6" s="161">
        <f t="shared" ref="L6:L8" si="1">IF(C6=0,"",C6)</f>
        <v>9</v>
      </c>
      <c r="M6" s="162">
        <f t="shared" ref="M6:M8" si="2">IF(E6=0,"",E6)</f>
        <v>2</v>
      </c>
      <c r="N6" s="162">
        <f t="shared" ref="N6:N8" si="3">IF(G6=0,"",G6)</f>
        <v>4</v>
      </c>
      <c r="O6" s="158">
        <f t="shared" ref="O6:O8" si="4">IF(C6+E6+G6=0," ",C6*E6*G6)</f>
        <v>72</v>
      </c>
    </row>
    <row r="7" spans="1:15" ht="124.2" customHeight="1" x14ac:dyDescent="0.3">
      <c r="A7" s="154" t="s">
        <v>320</v>
      </c>
      <c r="B7" s="154" t="s">
        <v>321</v>
      </c>
      <c r="C7" s="155">
        <v>9</v>
      </c>
      <c r="D7" s="156" t="s">
        <v>322</v>
      </c>
      <c r="E7" s="155">
        <v>2</v>
      </c>
      <c r="F7" s="156" t="s">
        <v>319</v>
      </c>
      <c r="G7" s="157">
        <v>3</v>
      </c>
      <c r="H7" s="158">
        <f t="shared" si="0"/>
        <v>54</v>
      </c>
      <c r="I7" s="159" t="s">
        <v>323</v>
      </c>
      <c r="J7" s="154" t="s">
        <v>324</v>
      </c>
      <c r="K7" s="160" t="s">
        <v>325</v>
      </c>
      <c r="L7" s="161">
        <f t="shared" si="1"/>
        <v>9</v>
      </c>
      <c r="M7" s="162">
        <f t="shared" si="2"/>
        <v>2</v>
      </c>
      <c r="N7" s="162">
        <f t="shared" si="3"/>
        <v>3</v>
      </c>
      <c r="O7" s="158">
        <f t="shared" si="4"/>
        <v>54</v>
      </c>
    </row>
    <row r="8" spans="1:15" ht="86.4" customHeight="1" x14ac:dyDescent="0.3">
      <c r="A8" s="154" t="s">
        <v>326</v>
      </c>
      <c r="B8" s="154" t="s">
        <v>327</v>
      </c>
      <c r="C8" s="155">
        <v>9</v>
      </c>
      <c r="D8" s="156" t="s">
        <v>328</v>
      </c>
      <c r="E8" s="155">
        <v>2</v>
      </c>
      <c r="F8" s="156" t="s">
        <v>329</v>
      </c>
      <c r="G8" s="157">
        <v>3</v>
      </c>
      <c r="H8" s="158">
        <f t="shared" si="0"/>
        <v>54</v>
      </c>
      <c r="I8" s="159" t="s">
        <v>319</v>
      </c>
      <c r="J8" s="154" t="s">
        <v>319</v>
      </c>
      <c r="K8" s="160" t="s">
        <v>319</v>
      </c>
      <c r="L8" s="161">
        <f t="shared" si="1"/>
        <v>9</v>
      </c>
      <c r="M8" s="162">
        <f t="shared" si="2"/>
        <v>2</v>
      </c>
      <c r="N8" s="162">
        <f t="shared" si="3"/>
        <v>3</v>
      </c>
      <c r="O8" s="158">
        <f t="shared" si="4"/>
        <v>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89FBB-E57F-4231-9DD9-CB1F6832459C}">
  <sheetPr codeName="Sheet8"/>
  <dimension ref="A1:H16"/>
  <sheetViews>
    <sheetView workbookViewId="0">
      <selection activeCell="E22" sqref="E22"/>
    </sheetView>
  </sheetViews>
  <sheetFormatPr defaultRowHeight="14.4" x14ac:dyDescent="0.3"/>
  <cols>
    <col min="2" max="2" width="11.21875" customWidth="1"/>
  </cols>
  <sheetData>
    <row r="1" spans="1:8" ht="23.4" x14ac:dyDescent="0.3">
      <c r="A1" s="107" t="s">
        <v>206</v>
      </c>
      <c r="B1" s="102"/>
      <c r="C1" s="102"/>
      <c r="D1" s="102"/>
      <c r="E1" s="102"/>
      <c r="F1" s="102"/>
      <c r="G1" s="102"/>
      <c r="H1" s="102"/>
    </row>
    <row r="4" spans="1:8" ht="15" thickBot="1" x14ac:dyDescent="0.35">
      <c r="B4" s="108" t="s">
        <v>207</v>
      </c>
      <c r="C4" s="108"/>
    </row>
    <row r="5" spans="1:8" ht="15.6" thickTop="1" thickBot="1" x14ac:dyDescent="0.35">
      <c r="B5" s="109" t="s">
        <v>208</v>
      </c>
      <c r="C5" s="110"/>
      <c r="D5" s="111" t="s">
        <v>209</v>
      </c>
    </row>
    <row r="6" spans="1:8" ht="15" thickTop="1" x14ac:dyDescent="0.3"/>
    <row r="12" spans="1:8" x14ac:dyDescent="0.3">
      <c r="B12" t="s">
        <v>210</v>
      </c>
    </row>
    <row r="13" spans="1:8" x14ac:dyDescent="0.3">
      <c r="B13" t="s">
        <v>209</v>
      </c>
    </row>
    <row r="14" spans="1:8" x14ac:dyDescent="0.3">
      <c r="B14" t="s">
        <v>211</v>
      </c>
    </row>
    <row r="15" spans="1:8" x14ac:dyDescent="0.3">
      <c r="B15" t="s">
        <v>212</v>
      </c>
    </row>
    <row r="16" spans="1:8" x14ac:dyDescent="0.3">
      <c r="B16" t="s">
        <v>213</v>
      </c>
    </row>
  </sheetData>
  <mergeCells count="2">
    <mergeCell ref="B4:C4"/>
    <mergeCell ref="B5:C5"/>
  </mergeCells>
  <dataValidations count="1">
    <dataValidation type="list" allowBlank="1" showInputMessage="1" showErrorMessage="1" sqref="D5" xr:uid="{F4B27CBF-276B-40D5-AF3B-64F229885D28}">
      <formula1>$B$13:$B$16</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FB848-0E88-408F-9A01-05DA05502209}">
  <sheetPr codeName="Sheet9"/>
  <dimension ref="A1:E12"/>
  <sheetViews>
    <sheetView workbookViewId="0">
      <selection activeCell="D17" sqref="D17"/>
    </sheetView>
  </sheetViews>
  <sheetFormatPr defaultRowHeight="14.4" x14ac:dyDescent="0.3"/>
  <cols>
    <col min="1" max="1" width="39.109375" customWidth="1"/>
  </cols>
  <sheetData>
    <row r="1" spans="1:5" ht="24.75" customHeight="1" x14ac:dyDescent="0.3">
      <c r="A1" s="112" t="s">
        <v>18</v>
      </c>
    </row>
    <row r="2" spans="1:5" x14ac:dyDescent="0.3">
      <c r="A2" t="s">
        <v>72</v>
      </c>
      <c r="E2" t="s">
        <v>72</v>
      </c>
    </row>
    <row r="3" spans="1:5" x14ac:dyDescent="0.3">
      <c r="A3" t="s">
        <v>75</v>
      </c>
      <c r="E3" t="s">
        <v>75</v>
      </c>
    </row>
    <row r="4" spans="1:5" x14ac:dyDescent="0.3">
      <c r="A4" t="s">
        <v>214</v>
      </c>
      <c r="E4" t="s">
        <v>214</v>
      </c>
    </row>
    <row r="5" spans="1:5" x14ac:dyDescent="0.3">
      <c r="A5" t="s">
        <v>72</v>
      </c>
    </row>
    <row r="6" spans="1:5" x14ac:dyDescent="0.3">
      <c r="A6" t="s">
        <v>75</v>
      </c>
    </row>
    <row r="7" spans="1:5" x14ac:dyDescent="0.3">
      <c r="A7" t="s">
        <v>75</v>
      </c>
    </row>
    <row r="8" spans="1:5" x14ac:dyDescent="0.3">
      <c r="A8" t="s">
        <v>72</v>
      </c>
    </row>
    <row r="9" spans="1:5" x14ac:dyDescent="0.3">
      <c r="A9" t="s">
        <v>75</v>
      </c>
    </row>
    <row r="10" spans="1:5" x14ac:dyDescent="0.3">
      <c r="A10" t="s">
        <v>214</v>
      </c>
    </row>
    <row r="11" spans="1:5" x14ac:dyDescent="0.3">
      <c r="A11" t="s">
        <v>72</v>
      </c>
    </row>
    <row r="12" spans="1:5" x14ac:dyDescent="0.3">
      <c r="A12" t="s">
        <v>214</v>
      </c>
    </row>
  </sheetData>
  <conditionalFormatting sqref="A1">
    <cfRule type="containsText" dxfId="6" priority="7" operator="containsText" text="high">
      <formula>NOT(ISERROR(SEARCH("high",A1)))</formula>
    </cfRule>
  </conditionalFormatting>
  <conditionalFormatting sqref="A1:A3 A12">
    <cfRule type="containsText" dxfId="5" priority="6" operator="containsText" text="high">
      <formula>NOT(ISERROR(SEARCH("high",A1)))</formula>
    </cfRule>
  </conditionalFormatting>
  <conditionalFormatting sqref="A1:A3 A12">
    <cfRule type="containsText" dxfId="4" priority="5" operator="containsText" text="medium">
      <formula>NOT(ISERROR(SEARCH("medium",A1)))</formula>
    </cfRule>
  </conditionalFormatting>
  <conditionalFormatting sqref="A4">
    <cfRule type="containsText" dxfId="3" priority="4" operator="containsText" text="low">
      <formula>NOT(ISERROR(SEARCH("low",A4)))</formula>
    </cfRule>
  </conditionalFormatting>
  <conditionalFormatting sqref="A1:A12">
    <cfRule type="containsText" dxfId="2" priority="1" operator="containsText" text="low">
      <formula>NOT(ISERROR(SEARCH("low",A1)))</formula>
    </cfRule>
    <cfRule type="containsText" dxfId="1" priority="2" operator="containsText" text="medium">
      <formula>NOT(ISERROR(SEARCH("medium",A1)))</formula>
    </cfRule>
    <cfRule type="containsText" dxfId="0" priority="3" operator="containsText" text="high">
      <formula>NOT(ISERROR(SEARCH("high",A1)))</formula>
    </cfRule>
  </conditionalFormatting>
  <dataValidations count="1">
    <dataValidation type="list" allowBlank="1" showInputMessage="1" showErrorMessage="1" sqref="A2:A12" xr:uid="{6BFE31C8-02A5-40CD-B712-E1E46115EDC5}">
      <formula1>$E$2:$E$4</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D19"/>
  <sheetViews>
    <sheetView workbookViewId="0">
      <selection activeCell="D2" sqref="D2"/>
    </sheetView>
  </sheetViews>
  <sheetFormatPr defaultRowHeight="14.4" x14ac:dyDescent="0.3"/>
  <cols>
    <col min="1" max="1" width="17.33203125" customWidth="1"/>
    <col min="2" max="2" width="12" customWidth="1"/>
  </cols>
  <sheetData>
    <row r="1" spans="1:4" x14ac:dyDescent="0.3">
      <c r="A1" s="113" t="s">
        <v>1</v>
      </c>
      <c r="B1" s="113" t="s">
        <v>11</v>
      </c>
      <c r="C1" s="113" t="s">
        <v>215</v>
      </c>
      <c r="D1" s="113" t="s">
        <v>216</v>
      </c>
    </row>
    <row r="2" spans="1:4" x14ac:dyDescent="0.3">
      <c r="A2" s="114">
        <v>2</v>
      </c>
      <c r="B2" s="115">
        <v>0.01</v>
      </c>
      <c r="C2" s="114" t="s">
        <v>217</v>
      </c>
      <c r="D2" s="116" t="s">
        <v>218</v>
      </c>
    </row>
    <row r="3" spans="1:4" x14ac:dyDescent="0.3">
      <c r="A3" s="114">
        <v>12</v>
      </c>
      <c r="B3" s="115">
        <v>0.01</v>
      </c>
      <c r="C3" s="114" t="s">
        <v>217</v>
      </c>
      <c r="D3" s="116" t="s">
        <v>219</v>
      </c>
    </row>
    <row r="4" spans="1:4" x14ac:dyDescent="0.3">
      <c r="A4" s="114">
        <v>3</v>
      </c>
      <c r="B4" s="115">
        <v>0.01</v>
      </c>
      <c r="C4" s="114" t="s">
        <v>220</v>
      </c>
      <c r="D4" s="116" t="s">
        <v>218</v>
      </c>
    </row>
    <row r="5" spans="1:4" x14ac:dyDescent="0.3">
      <c r="A5" s="117">
        <v>8</v>
      </c>
      <c r="B5" s="118">
        <v>0.02</v>
      </c>
      <c r="C5" s="117" t="s">
        <v>221</v>
      </c>
      <c r="D5" s="119" t="s">
        <v>222</v>
      </c>
    </row>
    <row r="6" spans="1:4" x14ac:dyDescent="0.3">
      <c r="A6" s="117">
        <v>11</v>
      </c>
      <c r="B6" s="118">
        <v>0.02</v>
      </c>
      <c r="C6" s="117" t="s">
        <v>221</v>
      </c>
      <c r="D6" s="119" t="s">
        <v>219</v>
      </c>
    </row>
    <row r="7" spans="1:4" x14ac:dyDescent="0.3">
      <c r="A7" s="117">
        <v>13</v>
      </c>
      <c r="B7" s="118">
        <v>0.02</v>
      </c>
      <c r="C7" s="117" t="s">
        <v>223</v>
      </c>
      <c r="D7" s="119" t="s">
        <v>224</v>
      </c>
    </row>
    <row r="8" spans="1:4" x14ac:dyDescent="0.3">
      <c r="A8" s="117">
        <v>17</v>
      </c>
      <c r="B8" s="118">
        <v>0.02</v>
      </c>
      <c r="C8" s="117" t="s">
        <v>223</v>
      </c>
      <c r="D8" s="119" t="s">
        <v>225</v>
      </c>
    </row>
    <row r="9" spans="1:4" x14ac:dyDescent="0.3">
      <c r="A9" s="117">
        <v>4</v>
      </c>
      <c r="B9" s="118">
        <v>0.02</v>
      </c>
      <c r="C9" s="117" t="s">
        <v>226</v>
      </c>
      <c r="D9" s="119" t="s">
        <v>227</v>
      </c>
    </row>
    <row r="10" spans="1:4" x14ac:dyDescent="0.3">
      <c r="A10" s="117">
        <v>7</v>
      </c>
      <c r="B10" s="118">
        <v>0.02</v>
      </c>
      <c r="C10" s="117" t="s">
        <v>228</v>
      </c>
      <c r="D10" s="119" t="s">
        <v>229</v>
      </c>
    </row>
    <row r="11" spans="1:4" x14ac:dyDescent="0.3">
      <c r="A11" s="120">
        <v>5</v>
      </c>
      <c r="B11" s="121">
        <v>0.03</v>
      </c>
      <c r="C11" s="120" t="s">
        <v>221</v>
      </c>
      <c r="D11" s="122" t="s">
        <v>230</v>
      </c>
    </row>
    <row r="12" spans="1:4" x14ac:dyDescent="0.3">
      <c r="A12" s="120">
        <v>9</v>
      </c>
      <c r="B12" s="121">
        <v>0.03</v>
      </c>
      <c r="C12" s="120" t="s">
        <v>223</v>
      </c>
      <c r="D12" s="122" t="s">
        <v>231</v>
      </c>
    </row>
    <row r="13" spans="1:4" x14ac:dyDescent="0.3">
      <c r="A13" s="120">
        <v>14</v>
      </c>
      <c r="B13" s="121">
        <v>0.03</v>
      </c>
      <c r="C13" s="120" t="s">
        <v>226</v>
      </c>
      <c r="D13" s="122" t="s">
        <v>232</v>
      </c>
    </row>
    <row r="14" spans="1:4" x14ac:dyDescent="0.3">
      <c r="A14" s="123">
        <v>18</v>
      </c>
      <c r="B14" s="123" t="s">
        <v>233</v>
      </c>
      <c r="C14" s="123" t="s">
        <v>234</v>
      </c>
      <c r="D14" s="124" t="s">
        <v>235</v>
      </c>
    </row>
    <row r="15" spans="1:4" x14ac:dyDescent="0.3">
      <c r="A15" s="125">
        <v>15</v>
      </c>
      <c r="B15" s="125" t="s">
        <v>236</v>
      </c>
      <c r="C15" s="125" t="s">
        <v>228</v>
      </c>
      <c r="D15" s="126" t="s">
        <v>237</v>
      </c>
    </row>
    <row r="16" spans="1:4" x14ac:dyDescent="0.3">
      <c r="A16" s="125">
        <v>16</v>
      </c>
      <c r="B16" s="125" t="s">
        <v>236</v>
      </c>
      <c r="C16" s="125" t="s">
        <v>228</v>
      </c>
      <c r="D16" s="126" t="s">
        <v>238</v>
      </c>
    </row>
    <row r="17" spans="1:4" x14ac:dyDescent="0.3">
      <c r="A17" s="125">
        <v>6</v>
      </c>
      <c r="B17" s="125" t="s">
        <v>236</v>
      </c>
      <c r="C17" s="125" t="s">
        <v>234</v>
      </c>
      <c r="D17" s="126" t="s">
        <v>239</v>
      </c>
    </row>
    <row r="18" spans="1:4" x14ac:dyDescent="0.3">
      <c r="A18" s="125">
        <v>1</v>
      </c>
      <c r="B18" s="125" t="s">
        <v>236</v>
      </c>
      <c r="C18" s="125" t="s">
        <v>240</v>
      </c>
      <c r="D18" s="126" t="s">
        <v>241</v>
      </c>
    </row>
    <row r="19" spans="1:4" x14ac:dyDescent="0.3">
      <c r="A19" s="125">
        <v>10</v>
      </c>
      <c r="B19" s="125" t="s">
        <v>236</v>
      </c>
      <c r="C19" s="125" t="s">
        <v>242</v>
      </c>
      <c r="D19" s="126" t="s">
        <v>243</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B5"/>
  <sheetViews>
    <sheetView workbookViewId="0">
      <selection activeCell="P13" sqref="P13"/>
    </sheetView>
  </sheetViews>
  <sheetFormatPr defaultRowHeight="14.4" x14ac:dyDescent="0.3"/>
  <cols>
    <col min="1" max="1" width="12.5546875" bestFit="1" customWidth="1"/>
    <col min="2" max="2" width="10.5546875" bestFit="1" customWidth="1"/>
  </cols>
  <sheetData>
    <row r="1" spans="1:2" ht="27.75" customHeight="1" x14ac:dyDescent="0.3">
      <c r="A1" s="163" t="s">
        <v>333</v>
      </c>
      <c r="B1" t="s">
        <v>335</v>
      </c>
    </row>
    <row r="2" spans="1:2" x14ac:dyDescent="0.3">
      <c r="A2" s="38" t="s">
        <v>255</v>
      </c>
      <c r="B2" s="84">
        <v>6</v>
      </c>
    </row>
    <row r="3" spans="1:2" x14ac:dyDescent="0.3">
      <c r="A3" s="38" t="s">
        <v>214</v>
      </c>
      <c r="B3" s="84">
        <v>2</v>
      </c>
    </row>
    <row r="4" spans="1:2" x14ac:dyDescent="0.3">
      <c r="A4" s="38" t="s">
        <v>256</v>
      </c>
      <c r="B4" s="84">
        <v>2</v>
      </c>
    </row>
    <row r="5" spans="1:2" x14ac:dyDescent="0.3">
      <c r="A5" s="38" t="s">
        <v>334</v>
      </c>
      <c r="B5" s="84">
        <v>10</v>
      </c>
    </row>
  </sheetData>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C3"/>
  <sheetViews>
    <sheetView workbookViewId="0"/>
  </sheetViews>
  <sheetFormatPr defaultRowHeight="14.4" x14ac:dyDescent="0.3"/>
  <sheetData>
    <row r="1" spans="1:3" ht="15.6" x14ac:dyDescent="0.3">
      <c r="A1" s="1"/>
    </row>
    <row r="2" spans="1:3" x14ac:dyDescent="0.3">
      <c r="B2" t="s">
        <v>244</v>
      </c>
    </row>
    <row r="3" spans="1:3" x14ac:dyDescent="0.3">
      <c r="C3" t="s">
        <v>245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B6"/>
  <sheetViews>
    <sheetView topLeftCell="A4" workbookViewId="0"/>
  </sheetViews>
  <sheetFormatPr defaultRowHeight="14.4" x14ac:dyDescent="0.3"/>
  <cols>
    <col min="1" max="1" width="33.33203125" customWidth="1"/>
    <col min="2" max="2" width="73.44140625" customWidth="1"/>
    <col min="3" max="3" width="44" customWidth="1"/>
  </cols>
  <sheetData>
    <row r="1" spans="1:2" ht="15.6" x14ac:dyDescent="0.3">
      <c r="A1" s="1"/>
    </row>
    <row r="2" spans="1:2" ht="16.2" thickBot="1" x14ac:dyDescent="0.35">
      <c r="A2" s="1"/>
    </row>
    <row r="3" spans="1:2" ht="29.25" customHeight="1" thickBot="1" x14ac:dyDescent="0.35">
      <c r="A3" s="8" t="s">
        <v>0</v>
      </c>
      <c r="B3" s="9" t="s">
        <v>6</v>
      </c>
    </row>
    <row r="4" spans="1:2" ht="43.8" customHeight="1" thickBot="1" x14ac:dyDescent="0.35">
      <c r="A4" s="10" t="s">
        <v>8</v>
      </c>
      <c r="B4" s="11" t="s">
        <v>336</v>
      </c>
    </row>
    <row r="5" spans="1:2" ht="35.25" customHeight="1" thickBot="1" x14ac:dyDescent="0.35">
      <c r="A5" s="10" t="s">
        <v>7</v>
      </c>
      <c r="B5" s="11" t="s">
        <v>337</v>
      </c>
    </row>
    <row r="6" spans="1:2" ht="233.4" customHeight="1" thickBot="1" x14ac:dyDescent="0.35">
      <c r="A6" s="10" t="s">
        <v>31</v>
      </c>
      <c r="B6" s="10" t="s">
        <v>338</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E9E18-8DE3-4CE3-9653-A38048D8C813}">
  <sheetPr codeName="Sheet14"/>
  <dimension ref="A1:C13"/>
  <sheetViews>
    <sheetView tabSelected="1" workbookViewId="0">
      <pane xSplit="1" ySplit="3" topLeftCell="B4" activePane="bottomRight" state="frozen"/>
      <selection pane="topRight" activeCell="B1" sqref="B1"/>
      <selection pane="bottomLeft" activeCell="A4" sqref="A4"/>
      <selection pane="bottomRight" activeCell="F12" sqref="F12"/>
    </sheetView>
  </sheetViews>
  <sheetFormatPr defaultRowHeight="14.4" x14ac:dyDescent="0.3"/>
  <cols>
    <col min="1" max="1" width="9.21875" style="2" customWidth="1"/>
    <col min="2" max="2" width="43.6640625" customWidth="1"/>
    <col min="3" max="3" width="56.109375" customWidth="1"/>
  </cols>
  <sheetData>
    <row r="1" spans="1:3" ht="15.6" x14ac:dyDescent="0.3">
      <c r="A1" s="4"/>
      <c r="B1" s="3"/>
    </row>
    <row r="3" spans="1:3" ht="30.75" customHeight="1" x14ac:dyDescent="0.3">
      <c r="A3" s="5" t="s">
        <v>1</v>
      </c>
      <c r="B3" s="5" t="s">
        <v>0</v>
      </c>
      <c r="C3" s="5" t="s">
        <v>2</v>
      </c>
    </row>
    <row r="4" spans="1:3" ht="72" customHeight="1" x14ac:dyDescent="0.3">
      <c r="A4" s="6">
        <v>0</v>
      </c>
      <c r="B4" s="7" t="s">
        <v>35</v>
      </c>
      <c r="C4" s="7" t="s">
        <v>330</v>
      </c>
    </row>
    <row r="5" spans="1:3" ht="99" customHeight="1" x14ac:dyDescent="0.3">
      <c r="A5" s="6">
        <v>1</v>
      </c>
      <c r="B5" s="7" t="s">
        <v>32</v>
      </c>
      <c r="C5" s="7" t="s">
        <v>344</v>
      </c>
    </row>
    <row r="6" spans="1:3" ht="72" customHeight="1" x14ac:dyDescent="0.3">
      <c r="A6" s="6">
        <v>2</v>
      </c>
      <c r="B6" s="7" t="s">
        <v>36</v>
      </c>
      <c r="C6" s="7" t="s">
        <v>339</v>
      </c>
    </row>
    <row r="7" spans="1:3" ht="72" customHeight="1" x14ac:dyDescent="0.3">
      <c r="A7" s="6">
        <v>3</v>
      </c>
      <c r="B7" s="7" t="s">
        <v>3</v>
      </c>
      <c r="C7" s="7" t="s">
        <v>340</v>
      </c>
    </row>
    <row r="8" spans="1:3" ht="72" customHeight="1" x14ac:dyDescent="0.3">
      <c r="A8" s="6">
        <v>4</v>
      </c>
      <c r="B8" s="7" t="s">
        <v>37</v>
      </c>
      <c r="C8" s="7" t="s">
        <v>341</v>
      </c>
    </row>
    <row r="9" spans="1:3" ht="72" customHeight="1" x14ac:dyDescent="0.3">
      <c r="A9" s="6">
        <v>5</v>
      </c>
      <c r="B9" s="7" t="s">
        <v>4</v>
      </c>
      <c r="C9" s="7" t="s">
        <v>342</v>
      </c>
    </row>
    <row r="10" spans="1:3" ht="86.1" customHeight="1" x14ac:dyDescent="0.3">
      <c r="A10" s="6">
        <v>6</v>
      </c>
      <c r="B10" s="7" t="s">
        <v>33</v>
      </c>
      <c r="C10" s="7" t="s">
        <v>343</v>
      </c>
    </row>
    <row r="11" spans="1:3" ht="72" customHeight="1" x14ac:dyDescent="0.3">
      <c r="A11" s="6">
        <v>7</v>
      </c>
      <c r="B11" s="7" t="s">
        <v>5</v>
      </c>
      <c r="C11" s="7" t="s">
        <v>345</v>
      </c>
    </row>
    <row r="12" spans="1:3" ht="95.1" customHeight="1" x14ac:dyDescent="0.3">
      <c r="A12" s="6">
        <v>8</v>
      </c>
      <c r="B12" s="7" t="s">
        <v>38</v>
      </c>
      <c r="C12" s="7" t="s">
        <v>346</v>
      </c>
    </row>
    <row r="13" spans="1:3" ht="257.39999999999998" customHeight="1" x14ac:dyDescent="0.3">
      <c r="A13" s="6">
        <v>9</v>
      </c>
      <c r="B13" s="7" t="s">
        <v>34</v>
      </c>
      <c r="C13" s="7" t="s">
        <v>347</v>
      </c>
    </row>
  </sheetData>
  <autoFilter ref="A3:C13" xr:uid="{385E9E18-8DE3-4CE3-9653-A38048D8C813}">
    <sortState xmlns:xlrd2="http://schemas.microsoft.com/office/spreadsheetml/2017/richdata2" ref="A4:C13">
      <sortCondition ref="A3:A13"/>
    </sortState>
  </autoFilter>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4EB6A6C-1EFE-4F12-9407-E7B6D1A61D9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Title</vt:lpstr>
      <vt:lpstr>1 Formatting</vt:lpstr>
      <vt:lpstr>2 Data Import</vt:lpstr>
      <vt:lpstr>3 User Story Analysis</vt:lpstr>
      <vt:lpstr>4 Chart</vt:lpstr>
      <vt:lpstr>5 Formulas</vt:lpstr>
      <vt:lpstr>6 FMEA</vt:lpstr>
      <vt:lpstr>7 Validation</vt:lpstr>
      <vt:lpstr>8 Conditional Format</vt:lpstr>
      <vt:lpstr>9 Two-Level Sort</vt:lpstr>
      <vt:lpstr>10 Pivot Table</vt:lpstr>
      <vt:lpstr>11 VBA</vt:lpstr>
      <vt:lpstr>12 Excel Help</vt:lpstr>
      <vt:lpstr>13 Personal Reflection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2024-03-04T00:55:02Z</dcterms:modified>
</cp:coreProperties>
</file>